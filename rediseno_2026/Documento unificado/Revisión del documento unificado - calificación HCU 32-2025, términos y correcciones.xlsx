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quisitos" sheetId="2" state="visible" r:id="rId2"/>
    <sheet xmlns:r="http://schemas.openxmlformats.org/officeDocument/2006/relationships" name="Puntos" sheetId="3" state="visible" r:id="rId3"/>
    <sheet xmlns:r="http://schemas.openxmlformats.org/officeDocument/2006/relationships" name="Términos" sheetId="4" state="visible" r:id="rId4"/>
    <sheet xmlns:r="http://schemas.openxmlformats.org/officeDocument/2006/relationships" name="Correcciones" sheetId="5" state="visible" r:id="rId5"/>
    <sheet xmlns:r="http://schemas.openxmlformats.org/officeDocument/2006/relationships" name="Coherencia" sheetId="6" state="visible" r:id="rId6"/>
  </sheets>
  <definedNames>
    <definedName name="_xlnm._FilterDatabase" localSheetId="0" hidden="1">'Resumen'!$A$8:$D$22</definedName>
    <definedName name="_xlnm._FilterDatabase" localSheetId="1" hidden="1">'Requisitos'!$A$3:$I$87</definedName>
    <definedName name="_xlnm._FilterDatabase" localSheetId="2" hidden="1">'Puntos'!$A$3:$H$25</definedName>
    <definedName name="_xlnm._FilterDatabase" localSheetId="3" hidden="1">'Términos'!$A$3:$I$98</definedName>
    <definedName name="_xlnm._FilterDatabase" localSheetId="4" hidden="1">'Correcciones'!$A$3:$G$228</definedName>
    <definedName name="_xlnm._FilterDatabase" localSheetId="5" hidden="1">'Coherencia'!$A$3:$H$49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entury Gothic"/>
      <b val="1"/>
      <color rgb="001F3864"/>
      <sz val="13"/>
    </font>
    <font>
      <name val="Century Gothic"/>
      <i val="1"/>
      <sz val="9"/>
    </font>
    <font>
      <name val="Century Gothic"/>
      <b val="1"/>
      <sz val="9"/>
    </font>
    <font>
      <name val="Century Gothic"/>
      <sz val="9"/>
    </font>
    <font>
      <name val="Century Gothic"/>
      <b val="1"/>
      <color rgb="00FFFFFF"/>
      <sz val="9"/>
    </font>
  </fonts>
  <fills count="3">
    <fill>
      <patternFill/>
    </fill>
    <fill>
      <patternFill patternType="gray125"/>
    </fill>
    <fill>
      <patternFill patternType="solid">
        <fgColor rgb="004472C4"/>
      </patternFill>
    </fill>
  </fills>
  <borders count="2">
    <border>
      <left/>
      <right/>
      <top/>
      <bottom/>
      <diagonal/>
    </border>
    <border>
      <left style="thin">
        <color rgb="008EAADB"/>
      </left>
      <right style="thin">
        <color rgb="008EAADB"/>
      </right>
      <top style="thin">
        <color rgb="008EAADB"/>
      </top>
      <bottom style="thin">
        <color rgb="008EAAD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center" vertical="top"/>
    </xf>
    <xf numFmtId="0" fontId="4" fillId="0" borderId="1" applyAlignment="1" pivotButton="0" quotePrefix="0" xfId="0">
      <alignment vertical="top" wrapText="1"/>
    </xf>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E7E6E6"/>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2"/>
  <sheetViews>
    <sheetView zoomScale="90" workbookViewId="0">
      <selection pane="bottomLeft" activeCell="A1" sqref="A1"/>
    </sheetView>
  </sheetViews>
  <sheetFormatPr baseColWidth="8" defaultRowHeight="15"/>
  <cols>
    <col width="30" customWidth="1" min="1" max="1"/>
    <col width="62" customWidth="1" min="2" max="2"/>
    <col width="12" customWidth="1" min="3" max="3"/>
    <col width="12" customWidth="1" min="4" max="4"/>
  </cols>
  <sheetData>
    <row r="1">
      <c r="A1" s="1" t="inlineStr">
        <is>
          <t>Revisión del documento unificado del Rediseño Curricular</t>
        </is>
      </c>
    </row>
    <row r="2">
      <c r="A2" s="2" t="inlineStr">
        <is>
          <t>Calificación frente a la Resolución HCU N.º 032/2025, términos de coherencia, correcciones aplicadas (incluye datos de matrícula 2026) y coherencia pendiente.</t>
        </is>
      </c>
    </row>
    <row r="4" ht="15" customHeight="1">
      <c r="A4" s="3" t="inlineStr">
        <is>
          <t>Calificación global</t>
        </is>
      </c>
      <c r="B4" s="4" t="inlineStr">
        <is>
          <t>78 / 100, Bueno: cumple de forma sustancial, con observaciones subsanables antes de la evaluación ex ante</t>
        </is>
      </c>
    </row>
    <row r="5" ht="80" customHeight="1">
      <c r="A5" s="3" t="inlineStr">
        <is>
          <t>Ponderación</t>
        </is>
      </c>
      <c r="B5" s="5" t="inlineStr">
        <is>
          <t>Promedio simple (50 %) de dos componentes. (a) Puntajes de los 22 puntos presentes ponderados por su peso en el reglamento (sobre 100): 1=4, 2=5, 3=9, 4.1=5, 4.2=7, 4.3=6, 4.4=8, 4.6=4, 4.7=4, 4.8=5, 5=6, 6=5, 7=4, 8=5, 9=3, 10=2, 11=4, 12=4, 13=3, 14=2, 15=1, 16=4; resultado 78.0. (b) Promedio simple de los 78 requisitos puntuados, sin contar los 6 marcados «Pendiente 4.5» o «No aplica»; resultado 77.2. Escala: 90-100 Excelente; 80-89 Muy bueno; 70-79 Bueno; 60-69 Suficiente; &lt;60 Insuficiente. El punto 4.5 no se penaliza.</t>
        </is>
      </c>
    </row>
    <row r="6" ht="132" customHeight="1">
      <c r="A6" s="3" t="inlineStr">
        <is>
          <t>Síntesis</t>
        </is>
      </c>
      <c r="B6" s="5" t="inlineStr">
        <is>
          <t>El documento es sólido en justificación, referentes disciplinares, malla y créditos (6.000 h, 300 créditos, verificados), estrategias y evaluación curricular, y aplica de forma coherente las decisiones adoptadas (malla definitiva, 874 HIP, Reglamento de Modalidades). Las brechas principales son cuantitativas y de coherencia institucional: faltan las horas mínimas de prácticas e interacción social, el mínimo y máximo de estudiantes por paralelo, la sigla, carga y créditos de las modalidades de graduación y los plazos de reincorporación; no se demuestra la alineación con la misión, visión y Modelo Educativo de la UMSA; faltan el cuadro comparativo del Art. 13, los costos de implementación y varios reglamentos. Hay inconsistencias internas (120 créditos, capacidades, cronograma de extinción). Quedan pendientes de 4.5: unidades de competencia, planes de asignatura y evaluación por elemento.</t>
        </is>
      </c>
    </row>
    <row r="8">
      <c r="A8" s="6" t="inlineStr">
        <is>
          <t>Hoja</t>
        </is>
      </c>
      <c r="B8" s="6" t="inlineStr">
        <is>
          <t>Concepto</t>
        </is>
      </c>
      <c r="C8" s="6" t="inlineStr">
        <is>
          <t>Cantidad</t>
        </is>
      </c>
      <c r="D8" s="6" t="inlineStr">
        <is>
          <t>Corregidos</t>
        </is>
      </c>
    </row>
    <row r="9">
      <c r="A9" s="7" t="inlineStr">
        <is>
          <t>Términos de coherencia (aplicados)</t>
        </is>
      </c>
      <c r="B9" s="7" t="inlineStr">
        <is>
          <t>Plan de Estudios 2027 o Plan 2027 → Rediseño Curricular</t>
        </is>
      </c>
      <c r="C9" s="8">
        <f>COUNTIFS(Términos!D:D,"Plan 2027/2024",Términos!G:G,"Rediseño*")</f>
        <v/>
      </c>
      <c r="D9" s="8">
        <f>COUNTIFS(Términos!D:D,"Plan 2027/2024",Términos!G:G,"Rediseño*",Términos!H:H,"Corregido")</f>
        <v/>
      </c>
    </row>
    <row r="10">
      <c r="A10" s="7" t="inlineStr">
        <is>
          <t>Términos de coherencia (aplicados)</t>
        </is>
      </c>
      <c r="B10" s="7" t="inlineStr">
        <is>
          <t>Troncal o troncales → Área Contable y de Auditoría</t>
        </is>
      </c>
      <c r="C10" s="8">
        <f>COUNTIF(Términos!D:D,"Troncal")</f>
        <v/>
      </c>
      <c r="D10" s="8">
        <f>COUNTIFS(Términos!D:D,"Troncal",Términos!H:H,"Corregido")</f>
        <v/>
      </c>
    </row>
    <row r="11">
      <c r="A11" s="7" t="inlineStr">
        <is>
          <t>Términos de coherencia (aplicados)</t>
        </is>
      </c>
      <c r="B11" s="7" t="inlineStr">
        <is>
          <t>Contextual o contextuales → Área Contextual</t>
        </is>
      </c>
      <c r="C11" s="8">
        <f>COUNTIF(Términos!D:D,"Contextual")</f>
        <v/>
      </c>
      <c r="D11" s="8">
        <f>COUNTIFS(Términos!D:D,"Contextual",Términos!H:H,"Corregido")</f>
        <v/>
      </c>
    </row>
    <row r="12">
      <c r="A12" s="7" t="inlineStr">
        <is>
          <t>Términos de coherencia (aplicados)</t>
        </is>
      </c>
      <c r="B12" s="7" t="inlineStr">
        <is>
          <t>Contador Público Autorizado fuera del título → Contador Público</t>
        </is>
      </c>
      <c r="C12" s="8">
        <f>COUNTIFS(Términos!D:D,"Contador Público Autorizado",Términos!G:G,"Contador Público")</f>
        <v/>
      </c>
      <c r="D12" s="8">
        <f>COUNTIFS(Términos!D:D,"Contador Público Autorizado",Términos!G:G,"Contador Público",Términos!H:H,"Corregido")</f>
        <v/>
      </c>
    </row>
    <row r="13">
      <c r="A13" s="7" t="inlineStr">
        <is>
          <t>Términos de coherencia (aplicados)</t>
        </is>
      </c>
      <c r="B13" s="7" t="inlineStr">
        <is>
          <t>Menciones que se mantienen o que hay que revisar</t>
        </is>
      </c>
      <c r="C13" s="8">
        <f>COUNTIF(Términos!G:G,"Mantener*")+COUNTIF(Términos!G:G,"Revisar*")</f>
        <v/>
      </c>
      <c r="D13" s="8" t="inlineStr"/>
    </row>
    <row r="14">
      <c r="A14" s="7" t="inlineStr">
        <is>
          <t>Cumplimiento HCU 032/2025</t>
        </is>
      </c>
      <c r="B14" s="7" t="inlineStr">
        <is>
          <t>Requisitos que se cumplen</t>
        </is>
      </c>
      <c r="C14" s="8">
        <f>COUNTIF(Requisitos!D:D,"Cumple")</f>
        <v/>
      </c>
      <c r="D14" s="8" t="inlineStr"/>
    </row>
    <row r="15">
      <c r="A15" s="7" t="inlineStr">
        <is>
          <t>Cumplimiento HCU 032/2025</t>
        </is>
      </c>
      <c r="B15" s="7" t="inlineStr">
        <is>
          <t>Requisitos que se cumplen en parte</t>
        </is>
      </c>
      <c r="C15" s="8">
        <f>COUNTIF(Requisitos!D:D,"Cumple parcialmente")</f>
        <v/>
      </c>
      <c r="D15" s="8">
        <f>COUNTIFS(Requisitos!D:D,"Cumple parcialmente",Requisitos!H:H,"Corregido")</f>
        <v/>
      </c>
    </row>
    <row r="16">
      <c r="A16" s="7" t="inlineStr">
        <is>
          <t>Cumplimiento HCU 032/2025</t>
        </is>
      </c>
      <c r="B16" s="7" t="inlineStr">
        <is>
          <t>Requisitos que no se cumplen</t>
        </is>
      </c>
      <c r="C16" s="8">
        <f>COUNTIF(Requisitos!D:D,"No cumple")</f>
        <v/>
      </c>
      <c r="D16" s="8">
        <f>COUNTIFS(Requisitos!D:D,"No cumple",Requisitos!H:H,"Corregido")</f>
        <v/>
      </c>
    </row>
    <row r="17">
      <c r="A17" s="7" t="inlineStr">
        <is>
          <t>Cumplimiento HCU 032/2025</t>
        </is>
      </c>
      <c r="B17" s="7" t="inlineStr">
        <is>
          <t>Requisitos que dependen del punto 4.5</t>
        </is>
      </c>
      <c r="C17" s="8">
        <f>COUNTIF(Requisitos!D:D,"Pendiente*")</f>
        <v/>
      </c>
      <c r="D17" s="8" t="inlineStr"/>
    </row>
    <row r="18">
      <c r="A18" s="7" t="inlineStr">
        <is>
          <t>Cumplimiento HCU 032/2025</t>
        </is>
      </c>
      <c r="B18" s="7" t="inlineStr">
        <is>
          <t>Promedio de los puntos</t>
        </is>
      </c>
      <c r="C18" s="8">
        <f>ROUND(AVERAGE(Puntos!C:C),1)</f>
        <v/>
      </c>
      <c r="D18" s="8" t="inlineStr"/>
    </row>
    <row r="19">
      <c r="A19" s="7" t="inlineStr">
        <is>
          <t>Coherencia entre puntos</t>
        </is>
      </c>
      <c r="B19" s="7" t="inlineStr">
        <is>
          <t>Observaciones de severidad alta</t>
        </is>
      </c>
      <c r="C19" s="8">
        <f>COUNTIF(Coherencia!D:D,"Alta")</f>
        <v/>
      </c>
      <c r="D19" s="8">
        <f>COUNTIFS(Coherencia!D:D,"Alta",Coherencia!G:G,"Corregido")</f>
        <v/>
      </c>
    </row>
    <row r="20">
      <c r="A20" s="7" t="inlineStr">
        <is>
          <t>Coherencia entre puntos</t>
        </is>
      </c>
      <c r="B20" s="7" t="inlineStr">
        <is>
          <t>Observaciones de severidad media</t>
        </is>
      </c>
      <c r="C20" s="8">
        <f>COUNTIF(Coherencia!D:D,"Media")</f>
        <v/>
      </c>
      <c r="D20" s="8">
        <f>COUNTIFS(Coherencia!D:D,"Media",Coherencia!G:G,"Corregido")</f>
        <v/>
      </c>
    </row>
    <row r="21">
      <c r="A21" s="7" t="inlineStr">
        <is>
          <t>Coherencia entre puntos</t>
        </is>
      </c>
      <c r="B21" s="7" t="inlineStr">
        <is>
          <t>Observaciones de severidad baja</t>
        </is>
      </c>
      <c r="C21" s="8">
        <f>COUNTIF(Coherencia!D:D,"Baja")</f>
        <v/>
      </c>
      <c r="D21" s="8">
        <f>COUNTIFS(Coherencia!D:D,"Baja",Coherencia!G:G,"Corregido")</f>
        <v/>
      </c>
    </row>
    <row r="22">
      <c r="A22" s="7" t="inlineStr">
        <is>
          <t>Correcciones aplicadas</t>
        </is>
      </c>
      <c r="B22" s="7" t="inlineStr">
        <is>
          <t>Cambios hechos en el Word revisado</t>
        </is>
      </c>
      <c r="C22" s="8">
        <f>COUNTA(Correcciones!A:A)-3</f>
        <v/>
      </c>
      <c r="D22" s="8" t="inlineStr"/>
    </row>
  </sheetData>
  <autoFilter ref="A8:D22"/>
  <mergeCells count="3">
    <mergeCell ref="B6:E6"/>
    <mergeCell ref="B5:E5"/>
    <mergeCell ref="B4:E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87"/>
  <sheetViews>
    <sheetView zoomScale="90" workbookViewId="0">
      <pane ySplit="3" topLeftCell="A4" activePane="bottomLeft" state="frozen"/>
      <selection pane="bottomLeft" activeCell="A1" sqref="A1"/>
    </sheetView>
  </sheetViews>
  <sheetFormatPr baseColWidth="8" defaultRowHeight="15"/>
  <cols>
    <col width="14" customWidth="1" min="1" max="1"/>
    <col width="40" customWidth="1" min="2" max="2"/>
    <col width="10" customWidth="1" min="3" max="3"/>
    <col width="15" customWidth="1" min="4" max="4"/>
    <col width="9" customWidth="1" min="5" max="5"/>
    <col width="55" customWidth="1" min="6" max="6"/>
    <col width="50" customWidth="1" min="7" max="7"/>
    <col width="13" customWidth="1" min="8" max="8"/>
    <col width="30" customWidth="1" min="9" max="9"/>
  </cols>
  <sheetData>
    <row r="1">
      <c r="A1" s="1" t="inlineStr">
        <is>
          <t>Cumplimiento de la Resolución HCU N.º 032/2025 por requisito</t>
        </is>
      </c>
    </row>
    <row r="2">
      <c r="A2" s="2" t="inlineStr">
        <is>
          <t>Puntaje de 0 a 100. El punto 4.5 se integrará después: sus requisitos figuran como pendientes.</t>
        </is>
      </c>
    </row>
    <row r="3">
      <c r="A3" s="6" t="inlineStr">
        <is>
          <t>Artículo</t>
        </is>
      </c>
      <c r="B3" s="6" t="inlineStr">
        <is>
          <t>Requisito</t>
        </is>
      </c>
      <c r="C3" s="6" t="inlineStr">
        <is>
          <t>Punto</t>
        </is>
      </c>
      <c r="D3" s="6" t="inlineStr">
        <is>
          <t>Estado</t>
        </is>
      </c>
      <c r="E3" s="6" t="inlineStr">
        <is>
          <t>Puntaje</t>
        </is>
      </c>
      <c r="F3" s="6" t="inlineStr">
        <is>
          <t>Evidencia</t>
        </is>
      </c>
      <c r="G3" s="6" t="inlineStr">
        <is>
          <t>Recomendación</t>
        </is>
      </c>
      <c r="H3" s="6" t="inlineStr">
        <is>
          <t>Seguimiento</t>
        </is>
      </c>
      <c r="I3" s="6" t="inlineStr">
        <is>
          <t>Observaciones</t>
        </is>
      </c>
    </row>
    <row r="4">
      <c r="A4" s="7" t="inlineStr">
        <is>
          <t>Art. 3, par. III</t>
        </is>
      </c>
      <c r="B4" s="7" t="inlineStr">
        <is>
          <t>Coherencia con la visión, misión, principios y valores de la UMSA (Estatuto Orgánico, PEI y Modelo Educativo) y sello identitario del egresado</t>
        </is>
      </c>
      <c r="C4" s="8" t="inlineStr">
        <is>
          <t>2, 4.1, 4.3</t>
        </is>
      </c>
      <c r="D4" s="8" t="inlineStr">
        <is>
          <t>Cumple parcialmente</t>
        </is>
      </c>
      <c r="E4" s="8" t="n">
        <v>55</v>
      </c>
      <c r="F4" s="7" t="inlineStr">
        <is>
          <t>4.1 afirma «en concordancia con el Modelo Educativo de la UMSA», pero 4.1.2 cita el Modelo Educativo del SUB (CEUB, 2023); el modelo UMSA (Res. HCU N.º 057/2025) solo aparece en 12.1.1. No se transcribe ni contrasta la misión/visión de la UMSA.</t>
        </is>
      </c>
      <c r="G4" s="7" t="inlineStr">
        <is>
          <t>Incorporar un cuadro de alineación misión, visión y principios UMSA ↔ Carrera ↔ perfil, citando Estatuto Orgánico, PEI-UMSA 2026-2030 y Res. HCU N.º 057/2025.</t>
        </is>
      </c>
      <c r="H4" s="9" t="inlineStr">
        <is>
          <t>Pendiente</t>
        </is>
      </c>
      <c r="I4" s="10" t="n"/>
    </row>
    <row r="5">
      <c r="A5" s="7" t="inlineStr">
        <is>
          <t>Art. 5, par. I</t>
        </is>
      </c>
      <c r="B5" s="7" t="inlineStr">
        <is>
          <t>Rediseño: reformulación del perfil de egreso con base en el contexto y el mercado laboral, con actualización de la estructura curricular y de los planes de asignatura</t>
        </is>
      </c>
      <c r="C5" s="8" t="inlineStr">
        <is>
          <t>3, 4.2.7, 4.4</t>
        </is>
      </c>
      <c r="D5" s="8" t="inlineStr">
        <is>
          <t>Cumple</t>
        </is>
      </c>
      <c r="E5" s="8" t="n">
        <v>90</v>
      </c>
      <c r="F5" s="7" t="inlineStr">
        <is>
          <t>3: «La adopción del perfil del Contador Público … reformula el perfil de egreso»; nuevo perfil en 4.2.7 y nueva malla en 4.4.3. La actualización de planes de asignatura queda en 4.5 (pendiente).</t>
        </is>
      </c>
      <c r="G5" s="7" t="inlineStr">
        <is>
          <t>Integrar el punto 4.5 para completar la actualización de los 43 planes de asignatura.</t>
        </is>
      </c>
      <c r="H5" s="9" t="inlineStr">
        <is>
          <t>Pendiente</t>
        </is>
      </c>
      <c r="I5" s="10" t="n"/>
    </row>
    <row r="6">
      <c r="A6" s="7" t="inlineStr">
        <is>
          <t>Art. 5, par. II</t>
        </is>
      </c>
      <c r="B6" s="7" t="inlineStr">
        <is>
          <t>Rediseño obligatorio cada siete años, por declaración de necesidad</t>
        </is>
      </c>
      <c r="C6" s="8" t="inlineStr">
        <is>
          <t>1.13, 3</t>
        </is>
      </c>
      <c r="D6" s="8" t="inlineStr">
        <is>
          <t>Cumple</t>
        </is>
      </c>
      <c r="E6" s="8" t="n">
        <v>95</v>
      </c>
      <c r="F6" s="7" t="inlineStr">
        <is>
          <t>3: «Su vigencia de trece años supera el plazo de siete años fijado por la UMSA»; 1.13: Res. HCF N.º 1057/2026 aprueba el Diagnóstico y la Declaratoria de Necesidad.</t>
        </is>
      </c>
      <c r="G6" s="7" t="inlineStr">
        <is>
          <t>—</t>
        </is>
      </c>
      <c r="H6" s="9" t="inlineStr">
        <is>
          <t>Pendiente</t>
        </is>
      </c>
      <c r="I6" s="10" t="n"/>
    </row>
    <row r="7">
      <c r="A7" s="7" t="inlineStr">
        <is>
          <t>Art. 15, par. II, num. 1 a 3</t>
        </is>
      </c>
      <c r="B7" s="7" t="inlineStr">
        <is>
          <t>Procedimiento: declaratoria de necesidad por el Honorable Consejo de Carrera, Asamblea Docente Estudiantil, Comisión Académica (Director, 5 docentes, 5 estudiantes), secretarios y subcomisiones paritarias</t>
        </is>
      </c>
      <c r="C7" s="8" t="inlineStr">
        <is>
          <t>1.13, 3.2.1, 4.3.1</t>
        </is>
      </c>
      <c r="D7" s="8" t="inlineStr">
        <is>
          <t>Cumple parcialmente</t>
        </is>
      </c>
      <c r="E7" s="8" t="n">
        <v>75</v>
      </c>
      <c r="F7" s="7" t="inlineStr">
        <is>
          <t>3.2.1: Res. HCF N.º 1057/2026 (declaratoria) y Res. HCF N.º 1126/2026 (Comisión «integrada por el Director de Carrera, cinco docentes y cinco estudiantes»); Asamblea del 4/9/2026. No se cita la resolución del HCC que declara la necesidad ni la conformación de secretarios y subcomisiones.</t>
        </is>
      </c>
      <c r="G7" s="7" t="inlineStr">
        <is>
          <t>Citar la resolución del Honorable Consejo de Carrera y el acta de Asamblea; anexar la conformación de subcomisiones y el informe de la Comisión Académica (Art. 15.II.4).</t>
        </is>
      </c>
      <c r="H7" s="9" t="inlineStr">
        <is>
          <t>Pendiente</t>
        </is>
      </c>
      <c r="I7" s="10" t="n"/>
    </row>
    <row r="8">
      <c r="A8" s="7" t="inlineStr">
        <is>
          <t>Art. 16, par. I</t>
        </is>
      </c>
      <c r="B8" s="7" t="inlineStr">
        <is>
          <t>Aplicación del rediseño en la gestión siguiente a su aprobación</t>
        </is>
      </c>
      <c r="C8" s="8" t="inlineStr">
        <is>
          <t>1.13, 16.2</t>
        </is>
      </c>
      <c r="D8" s="8" t="inlineStr">
        <is>
          <t>Cumple</t>
        </is>
      </c>
      <c r="E8" s="8" t="n">
        <v>90</v>
      </c>
      <c r="F8" s="7" t="inlineStr">
        <is>
          <t>1.13: «se aplicará conforme al Artículo 16»; 16.2: aprobación en 2026 e inicio del primer año en 2027.</t>
        </is>
      </c>
      <c r="G8" s="7" t="inlineStr">
        <is>
          <t>Prever un escenario alternativo si la aprobación del HCU no concluye en 2026.</t>
        </is>
      </c>
      <c r="H8" s="9" t="inlineStr">
        <is>
          <t>Pendiente</t>
        </is>
      </c>
      <c r="I8" s="10" t="n"/>
    </row>
    <row r="9">
      <c r="A9" s="7" t="inlineStr">
        <is>
          <t>Art. 8, par. II, num. 1</t>
        </is>
      </c>
      <c r="B9" s="7" t="inlineStr">
        <is>
          <t>Identificación del Programa/Carrera: facultad, carrera, creación, resoluciones de planes anteriores, grados, sedes, diplomas, títulos, modalidad y otras características</t>
        </is>
      </c>
      <c r="C9" s="8" t="inlineStr">
        <is>
          <t>1</t>
        </is>
      </c>
      <c r="D9" s="8" t="inlineStr">
        <is>
          <t>Cumple</t>
        </is>
      </c>
      <c r="E9" s="8" t="n">
        <v>95</v>
      </c>
      <c r="F9" s="7" t="inlineStr">
        <is>
          <t>1.1 a 1.13 cubren todos los elementos, con resoluciones (HCU N.º 438/2012, 290/2016, 426/2024) y cuadro año–grado–título.</t>
        </is>
      </c>
      <c r="G9" s="7" t="inlineStr">
        <is>
          <t>Unificar la cita del Reglamento General de Títulos y Grados (1.6 «XIII Congreso» frente a 3.2.1 «XI Congreso, 2009»).</t>
        </is>
      </c>
      <c r="H9" s="9" t="inlineStr">
        <is>
          <t>Pendiente</t>
        </is>
      </c>
      <c r="I9" s="10" t="n"/>
    </row>
    <row r="10">
      <c r="A10" s="7" t="inlineStr">
        <is>
          <t>Art. 12, Identificación, criterios 1 y 2</t>
        </is>
      </c>
      <c r="B10" s="7" t="inlineStr">
        <is>
          <t>Descripción clara del grado terminal y de los grados intermedios; denominaciones intermedias no similares a la terminal</t>
        </is>
      </c>
      <c r="C10" s="8" t="inlineStr">
        <is>
          <t>1.5–1.11, 5.4.1</t>
        </is>
      </c>
      <c r="D10" s="8" t="inlineStr">
        <is>
          <t>Cumple</t>
        </is>
      </c>
      <c r="E10" s="8" t="n">
        <v>95</v>
      </c>
      <c r="F10" s="7" t="inlineStr">
        <is>
          <t>Cuadro de 1.6: TUM en Contabilidad–Auxiliar Contable; TS en Contabilidad General–Contador General; Licenciatura en Contaduría Pública–Contador Público Autorizado. Denominaciones diferenciadas y requisitos coherentes con el Reglamento de Modalidades (13.1.4).</t>
        </is>
      </c>
      <c r="G10" s="7" t="inlineStr">
        <is>
          <t>—</t>
        </is>
      </c>
      <c r="H10" s="9" t="inlineStr">
        <is>
          <t>Pendiente</t>
        </is>
      </c>
      <c r="I10" s="10" t="n"/>
    </row>
    <row r="11">
      <c r="A11" s="7" t="inlineStr">
        <is>
          <t>Art. 12, Identificación, criterio 3</t>
        </is>
      </c>
      <c r="B11" s="7" t="inlineStr">
        <is>
          <t>Determinación precisa de la modalidad de enseñanza</t>
        </is>
      </c>
      <c r="C11" s="8" t="inlineStr">
        <is>
          <t>1.12</t>
        </is>
      </c>
      <c r="D11" s="8" t="inlineStr">
        <is>
          <t>Cumple</t>
        </is>
      </c>
      <c r="E11" s="8" t="n">
        <v>95</v>
      </c>
      <c r="F11" s="7" t="inlineStr">
        <is>
          <t>1.12: «modalidad presencial, bajo régimen anual, en dos turnos … plataforma virtual … sin sustituir las horas presenciales».</t>
        </is>
      </c>
      <c r="G11" s="7" t="inlineStr">
        <is>
          <t>—</t>
        </is>
      </c>
      <c r="H11" s="9" t="inlineStr">
        <is>
          <t>Pendiente</t>
        </is>
      </c>
      <c r="I11" s="10" t="n"/>
    </row>
    <row r="12">
      <c r="A12" s="7" t="inlineStr">
        <is>
          <t>Art. 8, par. II, num. 2</t>
        </is>
      </c>
      <c r="B12" s="7" t="inlineStr">
        <is>
          <t>Antecedentes: datos generales, misión y visión, plan de desarrollo, objetivos, caracterización, organigrama y estadísticas</t>
        </is>
      </c>
      <c r="C12" s="8" t="inlineStr">
        <is>
          <t>2</t>
        </is>
      </c>
      <c r="D12" s="8" t="inlineStr">
        <is>
          <t>Cumple</t>
        </is>
      </c>
      <c r="E12" s="8" t="n">
        <v>88</v>
      </c>
      <c r="F12" s="7" t="inlineStr">
        <is>
          <t>2.1 a 2.7 presentes, con estadísticas 2021-2025 (Cuadros 4 a 11). El organigrama vigente es el de 2013 (Res. HCU N.º 139/2013); el nuevo queda pendiente (13.1.2).</t>
        </is>
      </c>
      <c r="G12" s="7" t="inlineStr">
        <is>
          <t>Incluir el organigrama propuesto para la implementación del rediseño.</t>
        </is>
      </c>
      <c r="H12" s="9" t="inlineStr">
        <is>
          <t>Pendiente</t>
        </is>
      </c>
      <c r="I12" s="10" t="n"/>
    </row>
    <row r="13">
      <c r="A13" s="7" t="inlineStr">
        <is>
          <t>Art. 12, Antecedentes, criterio 1</t>
        </is>
      </c>
      <c r="B13" s="7" t="inlineStr">
        <is>
          <t>Misión y visión de la Carrera alineadas y armonizadas con las de la UMSA</t>
        </is>
      </c>
      <c r="C13" s="8" t="inlineStr">
        <is>
          <t>2.2</t>
        </is>
      </c>
      <c r="D13" s="8" t="inlineStr">
        <is>
          <t>Cumple parcialmente</t>
        </is>
      </c>
      <c r="E13" s="8" t="n">
        <v>50</v>
      </c>
      <c r="F13" s="7" t="inlineStr">
        <is>
          <t>2.2 presenta visión, misión y valores de la Carrera sin contrastarlos con los de la UMSA; el Cuadro 12 (3.2.1) solo afirma «formulados de manera articulada».</t>
        </is>
      </c>
      <c r="G13" s="7" t="inlineStr">
        <is>
          <t>Añadir un cuadro comparativo misión/visión UMSA–Carrera que muestre elementos comunes (excelencia, compromiso social, emprendimiento, sociedad justa e inclusiva).</t>
        </is>
      </c>
      <c r="H13" s="9" t="inlineStr">
        <is>
          <t>Pendiente</t>
        </is>
      </c>
      <c r="I13" s="10" t="n"/>
    </row>
    <row r="14">
      <c r="A14" s="7" t="inlineStr">
        <is>
          <t>Art. 12, Antecedentes, criterio 2</t>
        </is>
      </c>
      <c r="B14" s="7" t="inlineStr">
        <is>
          <t>Plan de desarrollo de la Carrera alineado y armonizado con el de la UMSA</t>
        </is>
      </c>
      <c r="C14" s="8" t="inlineStr">
        <is>
          <t>2.3, 3.2.1</t>
        </is>
      </c>
      <c r="D14" s="8" t="inlineStr">
        <is>
          <t>Cumple parcialmente</t>
        </is>
      </c>
      <c r="E14" s="8" t="n">
        <v>60</v>
      </c>
      <c r="F14" s="7" t="inlineStr">
        <is>
          <t>2.3 es un párrafo: el plan «forma parte del plan estratégico Institucional de la Facultad» (Res. HCF N.º 1013/2026); 3.2.1 menciona «concordancia vertical con el PEI-UMSA 2026-2030», sin mapear los ejes de 2.4.1 a objetivos ni metas UMSA.</t>
        </is>
      </c>
      <c r="G14" s="7" t="inlineStr">
        <is>
          <t>Incorporar una matriz ejes de la Carrera–OE del PEI facultativo–PEI UMSA con metas e indicadores (pendiente conocido: PEI 2026-2030).</t>
        </is>
      </c>
      <c r="H14" s="9" t="inlineStr">
        <is>
          <t>Pendiente</t>
        </is>
      </c>
      <c r="I14" s="10" t="n"/>
    </row>
    <row r="15">
      <c r="A15" s="7" t="inlineStr">
        <is>
          <t>Art. 8, par. II, num. 3</t>
        </is>
      </c>
      <c r="B15" s="7" t="inlineStr">
        <is>
          <t>Justificación: resultados de planes anteriores, políticas y normas, contexto económico y mercado laboral, ciencia y tecnología, contextualización de la oferta</t>
        </is>
      </c>
      <c r="C15" s="8" t="inlineStr">
        <is>
          <t>3</t>
        </is>
      </c>
      <c r="D15" s="8" t="inlineStr">
        <is>
          <t>Cumple</t>
        </is>
      </c>
      <c r="E15" s="8" t="n">
        <v>92</v>
      </c>
      <c r="F15" s="7" t="inlineStr">
        <is>
          <t>3.1 a 3.5 desarrollan los cinco análisis con fuentes (Ipsos CIESMORI 2025, BID 2022, FODA IICCFA 2025, CTNAC, WEF) y cierran con el Cuadro 31 de necesidades de formación.</t>
        </is>
      </c>
      <c r="G15" s="7" t="inlineStr">
        <is>
          <t>—</t>
        </is>
      </c>
      <c r="H15" s="9" t="inlineStr">
        <is>
          <t>Pendiente</t>
        </is>
      </c>
      <c r="I15" s="10" t="n"/>
    </row>
    <row r="16">
      <c r="A16" s="7" t="inlineStr">
        <is>
          <t>Art. 12, Justificación, criterio 1</t>
        </is>
      </c>
      <c r="B16" s="7" t="inlineStr">
        <is>
          <t>Descripción de las mallas anteriores resaltando las asignaturas que ya no existen y los resultados obtenidos</t>
        </is>
      </c>
      <c r="C16" s="8" t="inlineStr">
        <is>
          <t>3.1</t>
        </is>
      </c>
      <c r="D16" s="8" t="inlineStr">
        <is>
          <t>Cumple parcialmente</t>
        </is>
      </c>
      <c r="E16" s="8" t="n">
        <v>72</v>
      </c>
      <c r="F16" s="7" t="inlineStr">
        <is>
          <t>Cuadro 2 (malla 2013), Cuadro 10 (conservar/reorientar/incorporar) y resultados estadísticos y cualitativos (Cuadros 4 a 9). No se listan explícitamente las asignaturas que desaparecen o se transforman (p. ej., CPA-305 Sistemas de Información, CPA-511 Seminario de Grado) ni se describe el Plan 1999.</t>
        </is>
      </c>
      <c r="G16" s="7" t="inlineStr">
        <is>
          <t>Añadir un cuadro de asignaturas 2013 suprimidas, fusionadas o renombradas (puede remitir a 16.1.3) y una síntesis del Plan 1999.</t>
        </is>
      </c>
      <c r="H16" s="9" t="inlineStr">
        <is>
          <t>Pendiente</t>
        </is>
      </c>
      <c r="I16" s="10" t="n"/>
    </row>
    <row r="17">
      <c r="A17" s="7" t="inlineStr">
        <is>
          <t>Art. 12, Justificación, criterio 2</t>
        </is>
      </c>
      <c r="B17" s="7" t="inlineStr">
        <is>
          <t>Diagnóstico de políticas-normas, contexto social, económico y mercado laboral, con necesidades de formación departamentales y nacionales</t>
        </is>
      </c>
      <c r="C17" s="8" t="inlineStr">
        <is>
          <t>3.2, 3.3, 3.5.5</t>
        </is>
      </c>
      <c r="D17" s="8" t="inlineStr">
        <is>
          <t>Cumple</t>
        </is>
      </c>
      <c r="E17" s="8" t="n">
        <v>85</v>
      </c>
      <c r="F17" s="7" t="inlineStr">
        <is>
          <t>Cuadros 11 a 16 (normativa), 17 a 22 (economía y mercado) y Cuadro 31 (necesidades). La escala departamental se limita a datos puntuales de La Paz («cerca de 117.800 … en La Paz»).</t>
        </is>
      </c>
      <c r="G17" s="7" t="inlineStr">
        <is>
          <t>Desagregar necesidades del departamento de La Paz y de las sedes desconcentradas (Chulumani, Caranavi).</t>
        </is>
      </c>
      <c r="H17" s="9" t="inlineStr">
        <is>
          <t>Pendiente</t>
        </is>
      </c>
      <c r="I17" s="10" t="n"/>
    </row>
    <row r="18">
      <c r="A18" s="7" t="inlineStr">
        <is>
          <t>Art. 12, Justificación, criterio 3</t>
        </is>
      </c>
      <c r="B18" s="7" t="inlineStr">
        <is>
          <t>Detección del mercado laboral, familias o áreas laborales y posibles empresas</t>
        </is>
      </c>
      <c r="C18" s="8" t="inlineStr">
        <is>
          <t>3.3.3</t>
        </is>
      </c>
      <c r="D18" s="8" t="inlineStr">
        <is>
          <t>Cumple</t>
        </is>
      </c>
      <c r="E18" s="8" t="n">
        <v>85</v>
      </c>
      <c r="F18" s="7" t="inlineStr">
        <is>
          <t>Cuadro 20 «Áreas laborales y empleadores del Contador Público» con funciones y empleadores; Cuadro 19 de inserción (áreas: auditoría interna 35 %, contabilidad 26 %).</t>
        </is>
      </c>
      <c r="G18" s="7" t="inlineStr">
        <is>
          <t>Cuantificar la demanda por área y precisar las iniciativas o emprendimientos que la Carrera podría impulsar (p. ej., consultoría social contable).</t>
        </is>
      </c>
      <c r="H18" s="9" t="inlineStr">
        <is>
          <t>Pendiente</t>
        </is>
      </c>
      <c r="I18" s="10" t="n"/>
    </row>
    <row r="19">
      <c r="A19" s="7" t="inlineStr">
        <is>
          <t>Art. 12, Justificación, criterio 4</t>
        </is>
      </c>
      <c r="B19" s="7" t="inlineStr">
        <is>
          <t>Análisis de la oferta formativa similar nacional e internacional, señalando universidades</t>
        </is>
      </c>
      <c r="C19" s="8" t="inlineStr">
        <is>
          <t>3.5.2–3.5.4</t>
        </is>
      </c>
      <c r="D19" s="8" t="inlineStr">
        <is>
          <t>Cumple parcialmente</t>
        </is>
      </c>
      <c r="E19" s="8" t="n">
        <v>78</v>
      </c>
      <c r="F19" s="7" t="inlineStr">
        <is>
          <t>Internacional: Cuadro 28 compara tres programas (Chile, UNAM, Jorge Tadeo Lozano). Nacional: Cuadro 27 solo consigna el título de cuatro universidades, sin duración, carga ni malla; la oferta privada se menciona sin datos.</t>
        </is>
      </c>
      <c r="G19" s="7" t="inlineStr">
        <is>
          <t>Comparar duración, horas, salidas intermedias y componentes (tecnología, práctica, inglés) de las universidades nacionales públicas y privadas.</t>
        </is>
      </c>
      <c r="H19" s="9" t="inlineStr">
        <is>
          <t>Pendiente</t>
        </is>
      </c>
      <c r="I19" s="10" t="n"/>
    </row>
    <row r="20">
      <c r="A20" s="7" t="inlineStr">
        <is>
          <t>Art. 8, num. 4.1; Art. 12, Fundamentos curriculares</t>
        </is>
      </c>
      <c r="B20" s="7" t="inlineStr">
        <is>
          <t>Formulación explícita de fundamentos epistemológicos, sociológico-antropológicos, psicológicos, educativos (modelo curricular, pedagógico y didáctico) y axiológicos, en concordancia con el Modelo Educativo UMSA</t>
        </is>
      </c>
      <c r="C20" s="8" t="inlineStr">
        <is>
          <t>4.1</t>
        </is>
      </c>
      <c r="D20" s="8" t="inlineStr">
        <is>
          <t>Cumple parcialmente</t>
        </is>
      </c>
      <c r="E20" s="8" t="n">
        <v>70</v>
      </c>
      <c r="F20" s="7" t="inlineStr">
        <is>
          <t>4.1.1 a 4.1.5 presentes. 4.1.4 define «un modelo pedagógico centrado en competencias», sin modelo didáctico explícito; se apoya en el Modelo del SUB y en las IES, no en la Res. HCU N.º 057/2025. Hay duplicados (párrafo del «46 %» repetido; tabla IES copiada de 3.5.4).</t>
        </is>
      </c>
      <c r="G20" s="7" t="inlineStr">
        <is>
          <t>Completar 4.1.4 con los modelos curricular, pedagógico y didáctico de la UMSA; eliminar repeticiones y citar la fuente del dato «más del 80 % de sus ingresos».</t>
        </is>
      </c>
      <c r="H20" s="9" t="inlineStr">
        <is>
          <t>Pendiente</t>
        </is>
      </c>
      <c r="I20" s="10" t="n"/>
    </row>
    <row r="21">
      <c r="A21" s="7" t="inlineStr">
        <is>
          <t>Art. 12, Referentes disciplinares, criterio 1</t>
        </is>
      </c>
      <c r="B21" s="7" t="inlineStr">
        <is>
          <t>Establecer con claridad el objeto y el objetivo de la profesión</t>
        </is>
      </c>
      <c r="C21" s="8" t="inlineStr">
        <is>
          <t>4.2.4, 4.2.5</t>
        </is>
      </c>
      <c r="D21" s="8" t="inlineStr">
        <is>
          <t>Cumple</t>
        </is>
      </c>
      <c r="E21" s="8" t="n">
        <v>95</v>
      </c>
      <c r="F21" s="7" t="inlineStr">
        <is>
          <t>4.2.4: «el objeto de la profesión … es la información financiera, operativa, de gestión y de sostenibilidad»; 4.2.5: objetivo general y específicos en tres pilares.</t>
        </is>
      </c>
      <c r="G21" s="7" t="inlineStr">
        <is>
          <t>—</t>
        </is>
      </c>
      <c r="H21" s="9" t="inlineStr">
        <is>
          <t>Pendiente</t>
        </is>
      </c>
      <c r="I21" s="10" t="n"/>
    </row>
    <row r="22">
      <c r="A22" s="7" t="inlineStr">
        <is>
          <t>Art. 12, Referentes disciplinares, criterio 2</t>
        </is>
      </c>
      <c r="B22" s="7" t="inlineStr">
        <is>
          <t>Identificar funciones y tareas profesionales</t>
        </is>
      </c>
      <c r="C22" s="8" t="inlineStr">
        <is>
          <t>4.2.3</t>
        </is>
      </c>
      <c r="D22" s="8" t="inlineStr">
        <is>
          <t>Cumple</t>
        </is>
      </c>
      <c r="E22" s="8" t="n">
        <v>92</v>
      </c>
      <c r="F22" s="7" t="inlineStr">
        <is>
          <t>Roles profesional, organizacional e individual; Cuadro 1 de áreas de desempeño; actividades invariantes y variantes; herramientas.</t>
        </is>
      </c>
      <c r="G22" s="7" t="inlineStr">
        <is>
          <t>—</t>
        </is>
      </c>
      <c r="H22" s="9" t="inlineStr">
        <is>
          <t>Pendiente</t>
        </is>
      </c>
      <c r="I22" s="10" t="n"/>
    </row>
    <row r="23">
      <c r="A23" s="7" t="inlineStr">
        <is>
          <t>Art. 12, Referentes disciplinares, criterio 3</t>
        </is>
      </c>
      <c r="B23" s="7" t="inlineStr">
        <is>
          <t>El perfil responde a las necesidades identificadas en la justificación y los fundamentos</t>
        </is>
      </c>
      <c r="C23" s="8" t="inlineStr">
        <is>
          <t>4.2.7, 3.5.5</t>
        </is>
      </c>
      <c r="D23" s="8" t="inlineStr">
        <is>
          <t>Cumple</t>
        </is>
      </c>
      <c r="E23" s="8" t="n">
        <v>85</v>
      </c>
      <c r="F23" s="7" t="inlineStr">
        <is>
          <t>Atributos del egresado retoman el Cuadro 31 (tecnología, sostenibilidad, ética, liderazgo). Sin embargo, el perfil incluye «conocimiento del inglés técnico contable» y 4.4.1 lo deja como «(*) Materia extracurricular propuesta».</t>
        </is>
      </c>
      <c r="G23" s="7" t="inlineStr">
        <is>
          <t>Incluir una matriz necesidad (Cuadro 31) → atributo del perfil → asignatura, y definir cómo se garantiza el inglés técnico.</t>
        </is>
      </c>
      <c r="H23" s="9" t="inlineStr">
        <is>
          <t>Pendiente</t>
        </is>
      </c>
      <c r="I23" s="10" t="n"/>
    </row>
    <row r="24">
      <c r="A24" s="7" t="inlineStr">
        <is>
          <t>Art. 12, Referentes disciplinares, criterio 4</t>
        </is>
      </c>
      <c r="B24" s="7" t="inlineStr">
        <is>
          <t>Perfil con descripción general de competencias (conocimientos, habilidades y valores)</t>
        </is>
      </c>
      <c r="C24" s="8" t="inlineStr">
        <is>
          <t>4.2.6, 4.2.7</t>
        </is>
      </c>
      <c r="D24" s="8" t="inlineStr">
        <is>
          <t>Cumple</t>
        </is>
      </c>
      <c r="E24" s="8" t="n">
        <v>92</v>
      </c>
      <c r="F24" s="7" t="inlineStr">
        <is>
          <t>Saber conocer, hacer y ser y convivir (4.2.6, Cuadro 3) y atributos por dimensión en 4.2.7.</t>
        </is>
      </c>
      <c r="G24" s="7" t="inlineStr">
        <is>
          <t>—</t>
        </is>
      </c>
      <c r="H24" s="9" t="inlineStr">
        <is>
          <t>Pendiente</t>
        </is>
      </c>
      <c r="I24" s="10" t="n"/>
    </row>
    <row r="25">
      <c r="A25" s="7" t="inlineStr">
        <is>
          <t>Art. 12, Referentes disciplinares, criterio 5</t>
        </is>
      </c>
      <c r="B25" s="7" t="inlineStr">
        <is>
          <t>Perfil profesional pertinente con la misión de la UMSA</t>
        </is>
      </c>
      <c r="C25" s="8" t="inlineStr">
        <is>
          <t>4.2.7</t>
        </is>
      </c>
      <c r="D25" s="8" t="inlineStr">
        <is>
          <t>Cumple parcialmente</t>
        </is>
      </c>
      <c r="E25" s="8" t="n">
        <v>60</v>
      </c>
      <c r="F25" s="7" t="inlineStr">
        <is>
          <t>La declaración del perfil se alinea con la Res. N.º 07/2024 del SUB y el Código del IESBA; no hay referencia a la misión de la UMSA.</t>
        </is>
      </c>
      <c r="G25" s="7" t="inlineStr">
        <is>
          <t>Explicitar la correspondencia del perfil con la misión UMSA (responsabilidad social, emprendimiento, sociedad justa e inclusiva).</t>
        </is>
      </c>
      <c r="H25" s="9" t="inlineStr">
        <is>
          <t>Pendiente</t>
        </is>
      </c>
      <c r="I25" s="10" t="n"/>
    </row>
    <row r="26">
      <c r="A26" s="7" t="inlineStr">
        <is>
          <t>Art. 8, num. 4.3; Art. 12, Plan de estudios propuesto, criterio 1</t>
        </is>
      </c>
      <c r="B26" s="7" t="inlineStr">
        <is>
          <t>Plan sustentado en un modelo curricular coherente con el modelo educativo de la UMSA</t>
        </is>
      </c>
      <c r="C26" s="8" t="inlineStr">
        <is>
          <t>4.3.1</t>
        </is>
      </c>
      <c r="D26" s="8" t="inlineStr">
        <is>
          <t>Cumple parcialmente</t>
        </is>
      </c>
      <c r="E26" s="8" t="n">
        <v>70</v>
      </c>
      <c r="F26" s="7" t="inlineStr">
        <is>
          <t>4.3.1: modelo «por competencias, con enfoque socioformativo y de pensamiento complejo»; la coherencia se apoya en el Art. 12, el SUB y la RAN 2014, no en el Modelo Educativo UMSA (Res. HCU N.º 057/2025).</t>
        </is>
      </c>
      <c r="G26" s="7" t="inlineStr">
        <is>
          <t>Fundamentar la coherencia con el Modelo Educativo, Académico, Pedagógico, Curricular y Didáctico de la UMSA.</t>
        </is>
      </c>
      <c r="H26" s="9" t="inlineStr">
        <is>
          <t>Pendiente</t>
        </is>
      </c>
      <c r="I26" s="10" t="n"/>
    </row>
    <row r="27">
      <c r="A27" s="7" t="inlineStr">
        <is>
          <t>Art. 12, Plan de estudios propuesto, criterio 2</t>
        </is>
      </c>
      <c r="B27" s="7" t="inlineStr">
        <is>
          <t>Explicitar los principios de pertinencia, flexibilidad, integralidad e interdisciplinariedad</t>
        </is>
      </c>
      <c r="C27" s="8" t="inlineStr">
        <is>
          <t>4.3.2</t>
        </is>
      </c>
      <c r="D27" s="8" t="inlineStr">
        <is>
          <t>Cumple</t>
        </is>
      </c>
      <c r="E27" s="8" t="n">
        <v>95</v>
      </c>
      <c r="F27" s="7" t="inlineStr">
        <is>
          <t>4.3.2 desarrolla los cuatro principios con su concreción en la Carrera y añade ética e interés público y mejora continua.</t>
        </is>
      </c>
      <c r="G27" s="7" t="inlineStr">
        <is>
          <t>—</t>
        </is>
      </c>
      <c r="H27" s="9" t="inlineStr">
        <is>
          <t>Pendiente</t>
        </is>
      </c>
      <c r="I27" s="10" t="n"/>
    </row>
    <row r="28">
      <c r="A28" s="7" t="inlineStr">
        <is>
          <t>Art. 8, num. 4.3</t>
        </is>
      </c>
      <c r="B28" s="7" t="inlineStr">
        <is>
          <t>Objetivo general y objetivos específicos del rediseño</t>
        </is>
      </c>
      <c r="C28" s="8" t="inlineStr">
        <is>
          <t>4.3.3, 4.3.4</t>
        </is>
      </c>
      <c r="D28" s="8" t="inlineStr">
        <is>
          <t>Cumple</t>
        </is>
      </c>
      <c r="E28" s="8" t="n">
        <v>90</v>
      </c>
      <c r="F28" s="7" t="inlineStr">
        <is>
          <t>Objetivo general y Cuadro 1 con nueve objetivos vinculados a brechas.</t>
        </is>
      </c>
      <c r="G28" s="7" t="inlineStr">
        <is>
          <t>Respaldar con datos las brechas citadas como «valorado como bajo en el diagnóstico» (objetivos 2 y 9).</t>
        </is>
      </c>
      <c r="H28" s="9" t="inlineStr">
        <is>
          <t>Pendiente</t>
        </is>
      </c>
      <c r="I28" s="10" t="n"/>
    </row>
    <row r="29">
      <c r="A29" s="7" t="inlineStr">
        <is>
          <t>Art. 12, Plan de estudios propuesto, criterio 3</t>
        </is>
      </c>
      <c r="B29" s="7" t="inlineStr">
        <is>
          <t>Señalar claramente la duración de la Carrera</t>
        </is>
      </c>
      <c r="C29" s="8" t="inlineStr">
        <is>
          <t>4.3.5</t>
        </is>
      </c>
      <c r="D29" s="8" t="inlineStr">
        <is>
          <t>Cumple</t>
        </is>
      </c>
      <c r="E29" s="8" t="n">
        <v>98</v>
      </c>
      <c r="F29" s="7" t="inlineStr">
        <is>
          <t>«cinco años académicos, en régimen anual de 40 semanas lectivas», con tres ciclos (Cuadro 2).</t>
        </is>
      </c>
      <c r="G29" s="7" t="inlineStr">
        <is>
          <t>—</t>
        </is>
      </c>
      <c r="H29" s="9" t="inlineStr">
        <is>
          <t>Pendiente</t>
        </is>
      </c>
      <c r="I29" s="10" t="n"/>
    </row>
    <row r="30">
      <c r="A30" s="7" t="inlineStr">
        <is>
          <t>Art. 12, Estructura curricular, criterio 1</t>
        </is>
      </c>
      <c r="B30" s="7" t="inlineStr">
        <is>
          <t>La competencia debe ser coherente con el perfil profesional</t>
        </is>
      </c>
      <c r="C30" s="8" t="inlineStr">
        <is>
          <t>4.4.2</t>
        </is>
      </c>
      <c r="D30" s="8" t="inlineStr">
        <is>
          <t>Cumple</t>
        </is>
      </c>
      <c r="E30" s="8" t="n">
        <v>90</v>
      </c>
      <c r="F30" s="7" t="inlineStr">
        <is>
          <t>La «Competencia global de la Carrera» reproduce los componentes de la declaración del perfil (4.2.7).</t>
        </is>
      </c>
      <c r="G30" s="7" t="inlineStr">
        <is>
          <t>—</t>
        </is>
      </c>
      <c r="H30" s="9" t="inlineStr">
        <is>
          <t>Pendiente</t>
        </is>
      </c>
      <c r="I30" s="10" t="n"/>
    </row>
    <row r="31">
      <c r="A31" s="7" t="inlineStr">
        <is>
          <t>Art. 8, num. 4.4; Art. 12, Estructura curricular, criterio 2</t>
        </is>
      </c>
      <c r="B31" s="7" t="inlineStr">
        <is>
          <t>Mapa de competencias con unidades de competencia coherentes con la competencia y el perfil</t>
        </is>
      </c>
      <c r="C31" s="8" t="inlineStr">
        <is>
          <t>4.4.2</t>
        </is>
      </c>
      <c r="D31" s="8" t="inlineStr">
        <is>
          <t>Pendiente 4.5</t>
        </is>
      </c>
      <c r="E31" s="8" t="n"/>
      <c r="F31" s="7" t="inlineStr">
        <is>
          <t>4.4.2: «La unidad de competencia y los elementos de competencia de cada asignatura se establecen en los planes de asignatura del punto 4.5». Solo hay competencias por área (Cuadro 3).</t>
        </is>
      </c>
      <c r="G31" s="7" t="inlineStr">
        <is>
          <t>pendiente: 4.5. Aun así, el Art. 8 pide el mapa en 4.4: incluir en 4.4.2 un cuadro con las 43 unidades de competencia por área.</t>
        </is>
      </c>
      <c r="H31" s="9" t="inlineStr">
        <is>
          <t>Pendiente</t>
        </is>
      </c>
      <c r="I31" s="10" t="n"/>
    </row>
    <row r="32">
      <c r="A32" s="7" t="inlineStr">
        <is>
          <t>Art. 12, Estructura curricular, criterio 3</t>
        </is>
      </c>
      <c r="B32" s="7" t="inlineStr">
        <is>
          <t>Organización de las asignaturas según las áreas de formación detectadas</t>
        </is>
      </c>
      <c r="C32" s="8" t="inlineStr">
        <is>
          <t>4.4.1</t>
        </is>
      </c>
      <c r="D32" s="8" t="inlineStr">
        <is>
          <t>Cumple</t>
        </is>
      </c>
      <c r="E32" s="8" t="n">
        <v>88</v>
      </c>
      <c r="F32" s="7" t="inlineStr">
        <is>
          <t>Seis áreas en dos bloques; Cuadro 1 verificado (4.000 y 2.000 horas; 29 y 14 asignaturas). Ejes transversales en Cuadro 2, con el inglés como extracurricular.</t>
        </is>
      </c>
      <c r="G32" s="7" t="inlineStr">
        <is>
          <t>Precisar la ubicación del eje de inglés técnico dentro de la carga del plan.</t>
        </is>
      </c>
      <c r="H32" s="9" t="inlineStr">
        <is>
          <t>Pendiente</t>
        </is>
      </c>
      <c r="I32" s="10" t="n"/>
    </row>
    <row r="33">
      <c r="A33" s="7" t="inlineStr">
        <is>
          <t>Art. 8, num. 4.4; Art. 12, Estructura curricular, criterios 4 y 5</t>
        </is>
      </c>
      <c r="B33" s="7" t="inlineStr">
        <is>
          <t>Malla con sigla, nombre, carga horaria, créditos y prerrequisitos, por ciclos y año, y relación por nivel de formación</t>
        </is>
      </c>
      <c r="C33" s="8" t="inlineStr">
        <is>
          <t>4.4.3</t>
        </is>
      </c>
      <c r="D33" s="8" t="inlineStr">
        <is>
          <t>Cumple</t>
        </is>
      </c>
      <c r="E33" s="8" t="n">
        <v>97</v>
      </c>
      <c r="F33" s="7" t="inlineStr">
        <is>
          <t>Cuadros 4 a 8 completos y coherentes: 60 créditos y 1.800 h de trabajo por año; 1.040/1.200/1.280/1.280/1.200 h presenciales; coinciden con la malla definitiva.</t>
        </is>
      </c>
      <c r="G33" s="7" t="inlineStr">
        <is>
          <t>Añadir una representación gráfica de la malla con ciclos y flujo de prerrequisitos.</t>
        </is>
      </c>
      <c r="H33" s="9" t="inlineStr">
        <is>
          <t>Pendiente</t>
        </is>
      </c>
      <c r="I33" s="10" t="n"/>
    </row>
    <row r="34">
      <c r="A34" s="7" t="inlineStr">
        <is>
          <t>Art. 12, Estructura curricular, criterio 6</t>
        </is>
      </c>
      <c r="B34" s="7" t="inlineStr">
        <is>
          <t>La caracterización anualizada del plan debe guardar correspondencia con la competencia profesional</t>
        </is>
      </c>
      <c r="C34" s="8" t="inlineStr">
        <is>
          <t>4.3.5, 4.4.3</t>
        </is>
      </c>
      <c r="D34" s="8" t="inlineStr">
        <is>
          <t>Cumple parcialmente</t>
        </is>
      </c>
      <c r="E34" s="8" t="n">
        <v>70</v>
      </c>
      <c r="F34" s="7" t="inlineStr">
        <is>
          <t>Se declara el régimen anual, pero no se justifica su correspondencia con la competencia; el Plan 2013 tenía asignaturas semestrales (PS/SS) que ahora son anuales.</t>
        </is>
      </c>
      <c r="G34" s="7" t="inlineStr">
        <is>
          <t>Justificar la anualización frente a la competencia y al estudiante que trabaja.</t>
        </is>
      </c>
      <c r="H34" s="9" t="inlineStr">
        <is>
          <t>Pendiente</t>
        </is>
      </c>
      <c r="I34" s="10" t="n"/>
    </row>
    <row r="35">
      <c r="A35" s="7" t="inlineStr">
        <is>
          <t>Art. 8, num. 4.4</t>
        </is>
      </c>
      <c r="B35" s="7" t="inlineStr">
        <is>
          <t>Cuadro de asignación de cargas horarias presenciales y no presenciales (según formato)</t>
        </is>
      </c>
      <c r="C35" s="8" t="inlineStr">
        <is>
          <t>4.4.4</t>
        </is>
      </c>
      <c r="D35" s="8" t="inlineStr">
        <is>
          <t>Cumple</t>
        </is>
      </c>
      <c r="E35" s="8" t="n">
        <v>85</v>
      </c>
      <c r="F35" s="7" t="inlineStr">
        <is>
          <t>Cuadro 9 por año: 6.000 h presenciales + 3.000 no presenciales = 9.000 h, 300 créditos. El detalle por asignatura (HP, HAA, HTG, HIP, HE) se remite a 4.5.</t>
        </is>
      </c>
      <c r="G35" s="7" t="inlineStr">
        <is>
          <t>Incluir un cuadro por asignatura según el formato universitario.</t>
        </is>
      </c>
      <c r="H35" s="9" t="inlineStr">
        <is>
          <t>Pendiente</t>
        </is>
      </c>
      <c r="I35" s="10" t="n"/>
    </row>
    <row r="36">
      <c r="A36" s="7" t="inlineStr">
        <is>
          <t>Art. 8, num. 8; RGTyG Art. 28; Res. HCU N.º 351/2021</t>
        </is>
      </c>
      <c r="B36" s="7" t="inlineStr">
        <is>
          <t>Carga horaria máxima y sistema de créditos</t>
        </is>
      </c>
      <c r="C36" s="8" t="inlineStr">
        <is>
          <t>4.4.3, 8.3, 8.5</t>
        </is>
      </c>
      <c r="D36" s="8" t="inlineStr">
        <is>
          <t>Cumple</t>
        </is>
      </c>
      <c r="E36" s="8" t="n">
        <v>92</v>
      </c>
      <c r="F36" s="7" t="inlineStr">
        <is>
          <t>6.000 h académicas («el máximo fijado por el Artículo 28»); 300 créditos, 60 por año, 1 crédito = 30 h. 8.2 suma horas académicas de 45 min con horas no presenciales para llegar a 45 h semanales, y 8.4 expresa las HIP «en horas cronológicas».</t>
        </is>
      </c>
      <c r="G36" s="7" t="inlineStr">
        <is>
          <t>Unificar la unidad de medida (académica o cronológica) en 8.2, 8.4 y 4.4.4.</t>
        </is>
      </c>
      <c r="H36" s="9" t="inlineStr">
        <is>
          <t>Pendiente</t>
        </is>
      </c>
      <c r="I36" s="10" t="n"/>
    </row>
    <row r="37">
      <c r="A37" s="7" t="inlineStr">
        <is>
          <t>Art. 8, num. 4.5; Art. 12, Planes de asignatura (criterios 1 a 7)</t>
        </is>
      </c>
      <c r="B37" s="7" t="inlineStr">
        <is>
          <t>Identificación y justificación, UC y EC, criterios y evidencias por EC, estrategias, cronograma por EC, evaluación por EC y UC, bibliografía</t>
        </is>
      </c>
      <c r="C37" s="8" t="inlineStr">
        <is>
          <t>4.5</t>
        </is>
      </c>
      <c r="D37" s="8" t="inlineStr">
        <is>
          <t>Pendiente 4.5</t>
        </is>
      </c>
      <c r="E37" s="8" t="n"/>
      <c r="F37" s="7" t="inlineStr">
        <is>
          <t>Punto 4.5 no incluido en esta versión.</t>
        </is>
      </c>
      <c r="G37" s="7" t="inlineStr">
        <is>
          <t>pendiente: 4.5. Al integrarlo, verificar la justificación y el cronograma por elementos de competencia, que el Art. 12 exige y que según los datos de referencia los itinerarios no traen.</t>
        </is>
      </c>
      <c r="H37" s="9" t="inlineStr">
        <is>
          <t>Pendiente</t>
        </is>
      </c>
      <c r="I37" s="10" t="n"/>
    </row>
    <row r="38">
      <c r="A38" s="7" t="inlineStr">
        <is>
          <t>Art. 9, par. II</t>
        </is>
      </c>
      <c r="B38" s="7" t="inlineStr">
        <is>
          <t>Estructura de los planes de asignatura en la complementación curricular</t>
        </is>
      </c>
      <c r="C38" s="8" t="inlineStr">
        <is>
          <t>4.5</t>
        </is>
      </c>
      <c r="D38" s="8" t="inlineStr">
        <is>
          <t>No aplica</t>
        </is>
      </c>
      <c r="E38" s="8" t="n"/>
      <c r="F38" s="7" t="inlineStr">
        <is>
          <t>Rige la complementación anual (Art. 7); el rediseño se evalúa por el Art. 8 num. 4.5 y el Art. 12.</t>
        </is>
      </c>
      <c r="G38" s="7" t="inlineStr">
        <is>
          <t>Prever el formato del Art. 9 (horas y créditos por EC, Gantt semanal) para la primera complementación de 2027.</t>
        </is>
      </c>
      <c r="H38" s="9" t="inlineStr">
        <is>
          <t>Pendiente</t>
        </is>
      </c>
      <c r="I38" s="10" t="n"/>
    </row>
    <row r="39">
      <c r="A39" s="7" t="inlineStr">
        <is>
          <t>Art. 12, Estrategias, criterio 1</t>
        </is>
      </c>
      <c r="B39" s="7" t="inlineStr">
        <is>
          <t>Diferenciar las estrategias de aprendizaje del estudiante de las de enseñanza del docente</t>
        </is>
      </c>
      <c r="C39" s="8" t="inlineStr">
        <is>
          <t>4.6.1, 4.6.2</t>
        </is>
      </c>
      <c r="D39" s="8" t="inlineStr">
        <is>
          <t>Cumple</t>
        </is>
      </c>
      <c r="E39" s="8" t="n">
        <v>95</v>
      </c>
      <c r="F39" s="7" t="inlineStr">
        <is>
          <t>Cuadro 1 (estrategias del estudiante) separado de 4.6.2 (acciones del docente); métodos (Cuadro 2) y recursos (Cuadro 3).</t>
        </is>
      </c>
      <c r="G39" s="7" t="inlineStr">
        <is>
          <t>—</t>
        </is>
      </c>
      <c r="H39" s="9" t="inlineStr">
        <is>
          <t>Pendiente</t>
        </is>
      </c>
      <c r="I39" s="10" t="n"/>
    </row>
    <row r="40">
      <c r="A40" s="7" t="inlineStr">
        <is>
          <t>Art. 12, Estrategias, criterio 2</t>
        </is>
      </c>
      <c r="B40" s="7" t="inlineStr">
        <is>
          <t>Coherencia de las estrategias con EC, UC, perfil y modelo educativo</t>
        </is>
      </c>
      <c r="C40" s="8" t="inlineStr">
        <is>
          <t>4.6, 4.5</t>
        </is>
      </c>
      <c r="D40" s="8" t="inlineStr">
        <is>
          <t>Pendiente 4.5</t>
        </is>
      </c>
      <c r="E40" s="8" t="n"/>
      <c r="F40" s="7" t="inlineStr">
        <is>
          <t>La coherencia general con el perfil y el modelo se enuncia (4.6); la coherencia por EC y UC depende de los itinerarios.</t>
        </is>
      </c>
      <c r="G40" s="7" t="inlineStr">
        <is>
          <t>pendiente: 4.5.</t>
        </is>
      </c>
      <c r="H40" s="9" t="inlineStr">
        <is>
          <t>Pendiente</t>
        </is>
      </c>
      <c r="I40" s="10" t="n"/>
    </row>
    <row r="41">
      <c r="A41" s="7" t="inlineStr">
        <is>
          <t>Art. 12, Estrategias, criterio 3</t>
        </is>
      </c>
      <c r="B41" s="7" t="inlineStr">
        <is>
          <t>Contemplar actividades autónomas y colectivas</t>
        </is>
      </c>
      <c r="C41" s="8" t="inlineStr">
        <is>
          <t>4.6.1, 4.6.4</t>
        </is>
      </c>
      <c r="D41" s="8" t="inlineStr">
        <is>
          <t>Cumple</t>
        </is>
      </c>
      <c r="E41" s="8" t="n">
        <v>95</v>
      </c>
      <c r="F41" s="7" t="inlineStr">
        <is>
          <t>Columna «Tipo de actividad: Autónoma / Colectiva» en el Cuadro 1 y tipología de 4.6.4.</t>
        </is>
      </c>
      <c r="G41" s="7" t="inlineStr">
        <is>
          <t>—</t>
        </is>
      </c>
      <c r="H41" s="9" t="inlineStr">
        <is>
          <t>Pendiente</t>
        </is>
      </c>
      <c r="I41" s="10" t="n"/>
    </row>
    <row r="42">
      <c r="A42" s="7" t="inlineStr">
        <is>
          <t>Art. 12, Evaluación, criterio 1</t>
        </is>
      </c>
      <c r="B42" s="7" t="inlineStr">
        <is>
          <t>Evaluación concebida como retroalimentación para la mejora continua</t>
        </is>
      </c>
      <c r="C42" s="8" t="inlineStr">
        <is>
          <t>4.7</t>
        </is>
      </c>
      <c r="D42" s="8" t="inlineStr">
        <is>
          <t>Cumple</t>
        </is>
      </c>
      <c r="E42" s="8" t="n">
        <v>90</v>
      </c>
      <c r="F42" s="7" t="inlineStr">
        <is>
          <t>4.7: «la evaluación se concibe como retroalimentación para la mejora continua»; evaluación diagnóstica, formativa y sumativa; rúbricas y portafolio.</t>
        </is>
      </c>
      <c r="G42" s="7" t="inlineStr">
        <is>
          <t>—</t>
        </is>
      </c>
      <c r="H42" s="9" t="inlineStr">
        <is>
          <t>Pendiente</t>
        </is>
      </c>
      <c r="I42" s="10" t="n"/>
    </row>
    <row r="43">
      <c r="A43" s="7" t="inlineStr">
        <is>
          <t>Art. 12, Evaluación, criterio 2</t>
        </is>
      </c>
      <c r="B43" s="7" t="inlineStr">
        <is>
          <t>Estrategias de evaluación coherentes con el Reglamento del Régimen Académico Estudiantil</t>
        </is>
      </c>
      <c r="C43" s="8" t="inlineStr">
        <is>
          <t>4.7, 5.3.1</t>
        </is>
      </c>
      <c r="D43" s="8" t="inlineStr">
        <is>
          <t>Cumple</t>
        </is>
      </c>
      <c r="E43" s="8" t="n">
        <v>80</v>
      </c>
      <c r="F43" s="7" t="inlineStr">
        <is>
          <t>Escala 1-100 y aprobación con 51 «conforme a los Artículos 54 y 55 del reglamento» (5.3.1); diagnóstica no ponderada (Art. 28, en 5.2.2).</t>
        </is>
      </c>
      <c r="G43" s="7" t="inlineStr">
        <is>
          <t>Precisar las instancias de recuperación, segunda instancia y revisión de calificaciones del RRAE.</t>
        </is>
      </c>
      <c r="H43" s="9" t="inlineStr">
        <is>
          <t>Pendiente</t>
        </is>
      </c>
      <c r="I43" s="10" t="n"/>
    </row>
    <row r="44">
      <c r="A44" s="7" t="inlineStr">
        <is>
          <t>Art. 12, Evaluación y Admisión</t>
        </is>
      </c>
      <c r="B44" s="7" t="inlineStr">
        <is>
          <t>Especificar la nota o la cantidad de créditos para aprobar la asignatura</t>
        </is>
      </c>
      <c r="C44" s="8" t="inlineStr">
        <is>
          <t>4.7.4, 5.3.1</t>
        </is>
      </c>
      <c r="D44" s="8" t="inlineStr">
        <is>
          <t>Cumple</t>
        </is>
      </c>
      <c r="E44" s="8" t="n">
        <v>95</v>
      </c>
      <c r="F44" s="7" t="inlineStr">
        <is>
          <t>«Nota mínima de aprobación: cincuenta y uno (51) puntos sobre cien».</t>
        </is>
      </c>
      <c r="G44" s="7" t="inlineStr">
        <is>
          <t>—</t>
        </is>
      </c>
      <c r="H44" s="9" t="inlineStr">
        <is>
          <t>Pendiente</t>
        </is>
      </c>
      <c r="I44" s="10" t="n"/>
    </row>
    <row r="45">
      <c r="A45" s="7" t="inlineStr">
        <is>
          <t>Art. 12, Planes de asignatura, criterio 6</t>
        </is>
      </c>
      <c r="B45" s="7" t="inlineStr">
        <is>
          <t>Evaluación descrita por cada elemento y unidad de competencia</t>
        </is>
      </c>
      <c r="C45" s="8" t="inlineStr">
        <is>
          <t>4.5, 4.7.2</t>
        </is>
      </c>
      <c r="D45" s="8" t="inlineStr">
        <is>
          <t>Pendiente 4.5</t>
        </is>
      </c>
      <c r="E45" s="8" t="n"/>
      <c r="F45" s="7" t="inlineStr">
        <is>
          <t>4.7.2 anuncia evidencias por EC «conforme al Artículo 9»; la concreción está en los itinerarios.</t>
        </is>
      </c>
      <c r="G45" s="7" t="inlineStr">
        <is>
          <t>pendiente: 4.5.</t>
        </is>
      </c>
      <c r="H45" s="9" t="inlineStr">
        <is>
          <t>Pendiente</t>
        </is>
      </c>
      <c r="I45" s="10" t="n"/>
    </row>
    <row r="46">
      <c r="A46" s="7" t="inlineStr">
        <is>
          <t>Art. 8, num. 4.8; Art. 12, Prácticas preprofesionales</t>
        </is>
      </c>
      <c r="B46" s="7" t="inlineStr">
        <is>
          <t>Prácticas preprofesionales incluidas en el plan de estudios</t>
        </is>
      </c>
      <c r="C46" s="8" t="inlineStr">
        <is>
          <t>4.8</t>
        </is>
      </c>
      <c r="D46" s="8" t="inlineStr">
        <is>
          <t>Cumple parcialmente</t>
        </is>
      </c>
      <c r="E46" s="8" t="n">
        <v>75</v>
      </c>
      <c r="F46" s="7" t="inlineStr">
        <is>
          <t>Objetivos, cuatro niveles (Cuadro 1), ámbitos, doble tutoría, plan e informe y reconocimiento de experiencia laboral.</t>
        </is>
      </c>
      <c r="G46" s="7" t="inlineStr">
        <is>
          <t>Identificar las asignaturas que acogen las prácticas en 3.°, 4.° y 5.° año.</t>
        </is>
      </c>
      <c r="H46" s="9" t="inlineStr">
        <is>
          <t>Pendiente</t>
        </is>
      </c>
      <c r="I46" s="10" t="n"/>
    </row>
    <row r="47">
      <c r="A47" s="7" t="inlineStr">
        <is>
          <t>Art. 12, Prácticas preprofesionales</t>
        </is>
      </c>
      <c r="B47" s="7" t="inlineStr">
        <is>
          <t>Cantidad de horas de prácticas preprofesionales en empresa o institución pública o privada</t>
        </is>
      </c>
      <c r="C47" s="8" t="inlineStr">
        <is>
          <t>4.8.3</t>
        </is>
      </c>
      <c r="D47" s="8" t="inlineStr">
        <is>
          <t>No cumple</t>
        </is>
      </c>
      <c r="E47" s="8" t="n">
        <v>30</v>
      </c>
      <c r="F47" s="7" t="inlineStr">
        <is>
          <t>4.8.3: «La carga horaria mínima, los requisitos de habilitación y el procedimiento de acreditación se establecerán en el Reglamento de Prácticas Preprofesionales», que según 13.1.2 está por «Elaborar».</t>
        </is>
      </c>
      <c r="G47" s="7" t="inlineStr">
        <is>
          <t>Fijar en el plan las horas mínimas por año (3.° a 5.°), su imputación dentro de las 3.000 h no presenciales y su acreditación.</t>
        </is>
      </c>
      <c r="H47" s="9" t="inlineStr">
        <is>
          <t>Pendiente</t>
        </is>
      </c>
      <c r="I47" s="10" t="n"/>
    </row>
    <row r="48">
      <c r="A48" s="7" t="inlineStr">
        <is>
          <t>Art. 8, num. 5</t>
        </is>
      </c>
      <c r="B48" s="7" t="inlineStr">
        <is>
          <t>Perfil del postulante</t>
        </is>
      </c>
      <c r="C48" s="8" t="inlineStr">
        <is>
          <t>5.1</t>
        </is>
      </c>
      <c r="D48" s="8" t="inlineStr">
        <is>
          <t>Cumple</t>
        </is>
      </c>
      <c r="E48" s="8" t="n">
        <v>92</v>
      </c>
      <c r="F48" s="7" t="inlineStr">
        <is>
          <t>5.1 describe la base cognitiva, aptitudes y valores, y la brecha del bachiller con su atención.</t>
        </is>
      </c>
      <c r="G48" s="7" t="inlineStr">
        <is>
          <t>—</t>
        </is>
      </c>
      <c r="H48" s="9" t="inlineStr">
        <is>
          <t>Pendiente</t>
        </is>
      </c>
      <c r="I48" s="10" t="n"/>
    </row>
    <row r="49">
      <c r="A49" s="7" t="inlineStr">
        <is>
          <t>Art. 12, Admisión, criterio 1</t>
        </is>
      </c>
      <c r="B49" s="7" t="inlineStr">
        <is>
          <t>Modalidades de admisión planificadas según la misión UMSA y de la Carrera, los objetivos y el perfil</t>
        </is>
      </c>
      <c r="C49" s="8" t="inlineStr">
        <is>
          <t>5.2</t>
        </is>
      </c>
      <c r="D49" s="8" t="inlineStr">
        <is>
          <t>Cumple parcialmente</t>
        </is>
      </c>
      <c r="E49" s="8" t="n">
        <v>75</v>
      </c>
      <c r="F49" s="7" t="inlineStr">
        <is>
          <t>PSA, CPF y Admisión Especial (Res. HCU N.º 565/2024) bien documentadas; medidas 5.2.2 (pensamiento crítico, competencias digitales). El vínculo con la misión y el perfil queda implícito.</t>
        </is>
      </c>
      <c r="G49" s="7" t="inlineStr">
        <is>
          <t>Relacionar explícitamente los contenidos de PSA y CPF con el perfil de ingreso, la misión y el perfil profesional.</t>
        </is>
      </c>
      <c r="H49" s="9" t="inlineStr">
        <is>
          <t>Pendiente</t>
        </is>
      </c>
      <c r="I49" s="10" t="n"/>
    </row>
    <row r="50">
      <c r="A50" s="7" t="inlineStr">
        <is>
          <t>Art. 12, Admisión, criterio 2</t>
        </is>
      </c>
      <c r="B50" s="7" t="inlineStr">
        <is>
          <t>Costos de PSA y CPF pertinentes a los indicadores socioeconómicos</t>
        </is>
      </c>
      <c r="C50" s="8" t="inlineStr">
        <is>
          <t>5.2</t>
        </is>
      </c>
      <c r="D50" s="8" t="inlineStr">
        <is>
          <t>Cumple</t>
        </is>
      </c>
      <c r="E50" s="8" t="n">
        <v>85</v>
      </c>
      <c r="F50" s="7" t="inlineStr">
        <is>
          <t>Art. 6 del Reglamento de Admisión: modalidades «gratuitas o que, de tener un costo, este no exceda el importe que demande su realización».</t>
        </is>
      </c>
      <c r="G50" s="7" t="inlineStr">
        <is>
          <t>Indicar el costo vigente y su relación con los ingresos familiares (48,9 % de estudiantes trabaja).</t>
        </is>
      </c>
      <c r="H50" s="9" t="inlineStr">
        <is>
          <t>Pendiente</t>
        </is>
      </c>
      <c r="I50" s="10" t="n"/>
    </row>
    <row r="51">
      <c r="A51" s="7" t="inlineStr">
        <is>
          <t>Art. 8, num. 5; Art. 12, Admisión, criterio 4</t>
        </is>
      </c>
      <c r="B51" s="7" t="inlineStr">
        <is>
          <t>Condiciones de permanencia, licencias, suspensiones, plazo máximo de reincorporación y abandono</t>
        </is>
      </c>
      <c r="C51" s="8" t="inlineStr">
        <is>
          <t>5.3.2</t>
        </is>
      </c>
      <c r="D51" s="8" t="inlineStr">
        <is>
          <t>Cumple parcialmente</t>
        </is>
      </c>
      <c r="E51" s="8" t="n">
        <v>60</v>
      </c>
      <c r="F51" s="7" t="inlineStr">
        <is>
          <t>Se definen permanencia, licencia, abandono y readmisión; pero «Los plazos máximos de suspensión y de reincorporación … se establecen en el reglamento específico de la UMSA». Persisten referencias al 5.3.5 eliminado (pendiente conocido).</t>
        </is>
      </c>
      <c r="G51" s="7" t="inlineStr">
        <is>
          <t>Consignar en el plan los plazos máximos de suspensión y reincorporación aplicables.</t>
        </is>
      </c>
      <c r="H51" s="9" t="inlineStr">
        <is>
          <t>Pendiente</t>
        </is>
      </c>
      <c r="I51" s="10" t="n"/>
    </row>
    <row r="52">
      <c r="A52" s="7" t="inlineStr">
        <is>
          <t>Art. 12, Admisión, criterio 5</t>
        </is>
      </c>
      <c r="B52" s="7" t="inlineStr">
        <is>
          <t>Modalidades de graduación con sigla, denominación, carga horaria y créditos</t>
        </is>
      </c>
      <c r="C52" s="8" t="inlineStr">
        <is>
          <t>5.4, 13.1.4</t>
        </is>
      </c>
      <c r="D52" s="8" t="inlineStr">
        <is>
          <t>Cumple parcialmente</t>
        </is>
      </c>
      <c r="E52" s="8" t="n">
        <v>40</v>
      </c>
      <c r="F52" s="7" t="inlineStr">
        <is>
          <t>Siete modalidades de licenciatura y dos técnicas con denominación y requisitos coherentes con el Reglamento (13.1.4). Solo el trabajo dirigido (1.280 h) y el diplomado (800 h/20 créditos) tienen carga; ninguna tiene sigla ni créditos de pregrado.</t>
        </is>
      </c>
      <c r="G52" s="7" t="inlineStr">
        <is>
          <t>Añadir un cuadro de modalidades con sigla, carga horaria y créditos, y su relación con los 300 créditos del plan.</t>
        </is>
      </c>
      <c r="H52" s="9" t="inlineStr">
        <is>
          <t>Pendiente</t>
        </is>
      </c>
      <c r="I52" s="10" t="n"/>
    </row>
    <row r="53">
      <c r="A53" s="7" t="inlineStr">
        <is>
          <t>Art. 8, num. 6; Art. 12, Investigación, criterio 1</t>
        </is>
      </c>
      <c r="B53" s="7" t="inlineStr">
        <is>
          <t>Políticas y líneas de investigación o innovación tecnológica especificadas</t>
        </is>
      </c>
      <c r="C53" s="8" t="inlineStr">
        <is>
          <t>6.1, 6.2</t>
        </is>
      </c>
      <c r="D53" s="8" t="inlineStr">
        <is>
          <t>Cumple</t>
        </is>
      </c>
      <c r="E53" s="8" t="n">
        <v>82</v>
      </c>
      <c r="F53" s="7" t="inlineStr">
        <is>
          <t>Política basada en la Res. HCU N.º 90/2021; ocho líneas (LI-1 a LI-8) en cuatro grandes áreas. Las líneas no tienen descripción ni sublíneas, y no se indica su aprobación por el Comité Científico (Art. 11 del reglamento citado).</t>
        </is>
      </c>
      <c r="G53" s="7" t="inlineStr">
        <is>
          <t>Describir cada línea con sublíneas y asignaturas vinculadas, e indicar la resolución que las aprueba.</t>
        </is>
      </c>
      <c r="H53" s="9" t="inlineStr">
        <is>
          <t>Pendiente</t>
        </is>
      </c>
      <c r="I53" s="10" t="n"/>
    </row>
    <row r="54">
      <c r="A54" s="7" t="inlineStr">
        <is>
          <t>Art. 12, Investigación, criterio 2</t>
        </is>
      </c>
      <c r="B54" s="7" t="inlineStr">
        <is>
          <t>Tesis, proyectos de grado y trabajo dirigido responden a las líneas de investigación</t>
        </is>
      </c>
      <c r="C54" s="8" t="inlineStr">
        <is>
          <t>6.1.3, 13.1.4</t>
        </is>
      </c>
      <c r="D54" s="8" t="inlineStr">
        <is>
          <t>Cumple parcialmente</t>
        </is>
      </c>
      <c r="E54" s="8" t="n">
        <v>65</v>
      </c>
      <c r="F54" s="7" t="inlineStr">
        <is>
          <t>6.1.3 los declara «vinculados a las líneas … del punto 6.2», pero el Reglamento de Modalidades (Art. 11, Banco de Temas) solo los alinea «a las necesidades del sector productivo…», sin exigir la adscripción a una LI.</t>
        </is>
      </c>
      <c r="G54" s="7" t="inlineStr">
        <is>
          <t>Incluir en los Arts. 11, 16, 32 y 49 del Reglamento la adscripción obligatoria del perfil a una línea LI-1 a LI-8.</t>
        </is>
      </c>
      <c r="H54" s="9" t="inlineStr">
        <is>
          <t>Pendiente</t>
        </is>
      </c>
      <c r="I54" s="10" t="n"/>
    </row>
    <row r="55">
      <c r="A55" s="7" t="inlineStr">
        <is>
          <t>Art. 8, num. 8; Art. 12, Investigación, criterio 3</t>
        </is>
      </c>
      <c r="B55" s="7" t="inlineStr">
        <is>
          <t>Horas de investigación de los estudiantes en los institutos de la Carrera o la Facultad</t>
        </is>
      </c>
      <c r="C55" s="8" t="inlineStr">
        <is>
          <t>8.4, 6.1.3, 13.2.2</t>
        </is>
      </c>
      <c r="D55" s="8" t="inlineStr">
        <is>
          <t>Cumple parcialmente</t>
        </is>
      </c>
      <c r="E55" s="8" t="n">
        <v>65</v>
      </c>
      <c r="F55" s="7" t="inlineStr">
        <is>
          <t>8.4: 874 HIP (9,7 % de 9.000 h) distribuidas en las 43 asignaturas (Cuadros 3 y 4, sumas verificadas); no se establece qué parte se realiza en el IICCFA. 13.2.2 solo prevé un «Registro de horas de investigación».</t>
        </is>
      </c>
      <c r="G55" s="7" t="inlineStr">
        <is>
          <t>Precisar las horas que se cumplen o acreditan en el Instituto y su mecanismo de registro.</t>
        </is>
      </c>
      <c r="H55" s="9" t="inlineStr">
        <is>
          <t>Pendiente</t>
        </is>
      </c>
      <c r="I55" s="10" t="n"/>
    </row>
    <row r="56">
      <c r="A56" s="7" t="inlineStr">
        <is>
          <t>Art. 12, Investigación, criterio 4</t>
        </is>
      </c>
      <c r="B56" s="7" t="inlineStr">
        <is>
          <t>Planes de asignatura con investigaciones alineadas a la unidad de competencia</t>
        </is>
      </c>
      <c r="C56" s="8" t="inlineStr">
        <is>
          <t>4.5, 8.4</t>
        </is>
      </c>
      <c r="D56" s="8" t="inlineStr">
        <is>
          <t>Pendiente 4.5</t>
        </is>
      </c>
      <c r="E56" s="8" t="n"/>
      <c r="F56" s="7" t="inlineStr">
        <is>
          <t>8.4 asigna HIP a cada asignatura, lo que es un indicio favorable; la alineación por UC está en los itinerarios.</t>
        </is>
      </c>
      <c r="G56" s="7" t="inlineStr">
        <is>
          <t>pendiente: 4.5.</t>
        </is>
      </c>
      <c r="H56" s="9" t="inlineStr">
        <is>
          <t>Pendiente</t>
        </is>
      </c>
      <c r="I56" s="10" t="n"/>
    </row>
    <row r="57">
      <c r="A57" s="7" t="inlineStr">
        <is>
          <t>Art. 8, num. 7; Art. 12, Interacción social, criterios 1 y 3</t>
        </is>
      </c>
      <c r="B57" s="7" t="inlineStr">
        <is>
          <t>Políticas y líneas de interacción social y de extensión universitaria</t>
        </is>
      </c>
      <c r="C57" s="8" t="inlineStr">
        <is>
          <t>7.1, 7.2</t>
        </is>
      </c>
      <c r="D57" s="8" t="inlineStr">
        <is>
          <t>Cumple</t>
        </is>
      </c>
      <c r="E57" s="8" t="n">
        <v>80</v>
      </c>
      <c r="F57" s="7" t="inlineStr">
        <is>
          <t>7.1.1 y 7.1.2 (tres líneas: consultoría social contable, transferencia, vinculación); 7.2.1 y 7.2.2 (cinco líneas de extensión). La consultoría social se plantea en futuro: «se pretende la creación».</t>
        </is>
      </c>
      <c r="G57" s="7" t="inlineStr">
        <is>
          <t>Asignar responsables, metas e indicadores a cada línea.</t>
        </is>
      </c>
      <c r="H57" s="9" t="inlineStr">
        <is>
          <t>Pendiente</t>
        </is>
      </c>
      <c r="I57" s="10" t="n"/>
    </row>
    <row r="58">
      <c r="A58" s="7" t="inlineStr">
        <is>
          <t>Art. 12, Interacción social, criterio 2</t>
        </is>
      </c>
      <c r="B58" s="7" t="inlineStr">
        <is>
          <t>Cantidad de horas de interacción social demostrables por estudiante</t>
        </is>
      </c>
      <c r="C58" s="8" t="inlineStr">
        <is>
          <t>7, 13.1.2</t>
        </is>
      </c>
      <c r="D58" s="8" t="inlineStr">
        <is>
          <t>No cumple</t>
        </is>
      </c>
      <c r="E58" s="8" t="n">
        <v>20</v>
      </c>
      <c r="F58" s="7" t="inlineStr">
        <is>
          <t>El punto 7 no fija horas; 13.1.2 remite a un Reglamento de Interacción Social por «Elaborar» con «Horas mínimas» (y a un 7.1.3 inexistente, pendiente conocido).</t>
        </is>
      </c>
      <c r="G58" s="7" t="inlineStr">
        <is>
          <t>Fijar horas mínimas, actividades válidas y evidencias de acreditación en el punto 7.</t>
        </is>
      </c>
      <c r="H58" s="9" t="inlineStr">
        <is>
          <t>Pendiente</t>
        </is>
      </c>
      <c r="I58" s="10" t="n"/>
    </row>
    <row r="59">
      <c r="A59" s="7" t="inlineStr">
        <is>
          <t>Art. 8, num. 8; Art. 12, Organización, criterio 1</t>
        </is>
      </c>
      <c r="B59" s="7" t="inlineStr">
        <is>
          <t>Número de semanas lectivas por año, en concordancia con el calendario académico del HCU</t>
        </is>
      </c>
      <c r="C59" s="8" t="inlineStr">
        <is>
          <t>8.1</t>
        </is>
      </c>
      <c r="D59" s="8" t="inlineStr">
        <is>
          <t>Cumple</t>
        </is>
      </c>
      <c r="E59" s="8" t="n">
        <v>95</v>
      </c>
      <c r="F59" s="7" t="inlineStr">
        <is>
          <t>«40 semanas lectivas … en concordancia con el calendario académico aprobado por el Honorable Consejo Universitario».</t>
        </is>
      </c>
      <c r="G59" s="7" t="inlineStr">
        <is>
          <t>—</t>
        </is>
      </c>
      <c r="H59" s="9" t="inlineStr">
        <is>
          <t>Pendiente</t>
        </is>
      </c>
      <c r="I59" s="10" t="n"/>
    </row>
    <row r="60">
      <c r="A60" s="7" t="inlineStr">
        <is>
          <t>Art. 8, num. 8</t>
        </is>
      </c>
      <c r="B60" s="7" t="inlineStr">
        <is>
          <t>Horas cronológicas por semana, total de horas planificadas, carga en investigación y sistema de créditos</t>
        </is>
      </c>
      <c r="C60" s="8" t="inlineStr">
        <is>
          <t>8.2–8.5</t>
        </is>
      </c>
      <c r="D60" s="8" t="inlineStr">
        <is>
          <t>Cumple</t>
        </is>
      </c>
      <c r="E60" s="8" t="n">
        <v>88</v>
      </c>
      <c r="F60" s="7" t="inlineStr">
        <is>
          <t>Cuadros 1 a 5 coherentes con la malla (6.000/3.000/9.000 h; 300 créditos; 874 HIP). 8 y 8.5 remiten al «sistema de créditos del punto 4.3.5», que trata la duración.</t>
        </is>
      </c>
      <c r="G60" s="7" t="inlineStr">
        <is>
          <t>Corregir la remisión (los créditos están en 4.4.3–4.4.4) y unificar unidades.</t>
        </is>
      </c>
      <c r="H60" s="9" t="inlineStr">
        <is>
          <t>Pendiente</t>
        </is>
      </c>
      <c r="I60" s="10" t="n"/>
    </row>
    <row r="61">
      <c r="A61" s="7" t="inlineStr">
        <is>
          <t>Art. 8, num. 8; Art. 12, Organización, criterio 2</t>
        </is>
      </c>
      <c r="B61" s="7" t="inlineStr">
        <is>
          <t>Número mínimo y máximo de estudiantes por asignatura o paralelo, según reglamentación</t>
        </is>
      </c>
      <c r="C61" s="8" t="inlineStr">
        <is>
          <t>8.6</t>
        </is>
      </c>
      <c r="D61" s="8" t="inlineStr">
        <is>
          <t>No cumple</t>
        </is>
      </c>
      <c r="E61" s="8" t="n">
        <v>25</v>
      </c>
      <c r="F61" s="7" t="inlineStr">
        <is>
          <t>8.6 solo presenta el diagnóstico (106 por paralelo) y delega en el Director. 11.1.1 afirma que «el punto 8.6 fija una meta intermedia de 80 … y una meta objetivo de 60», cifras que no figuran en 8.6.</t>
        </is>
      </c>
      <c r="G61" s="7" t="inlineStr">
        <is>
          <t>Fijar en 8.6 los mínimos y máximos por tipo de actividad (teoría, laboratorio, gabinete) y armonizarlos con 11.1.1 y 11.2.3.</t>
        </is>
      </c>
      <c r="H61" s="9" t="inlineStr">
        <is>
          <t>Pendiente</t>
        </is>
      </c>
      <c r="I61" s="10" t="n"/>
    </row>
    <row r="62">
      <c r="A62" s="7" t="inlineStr">
        <is>
          <t>Art. 8, num. 9; Art. 12, Material bibliográfico</t>
        </is>
      </c>
      <c r="B62" s="7" t="inlineStr">
        <is>
          <t>Bibliografía especializada y actualizada según los planes de asignatura y el número proyectado de estudiantes</t>
        </is>
      </c>
      <c r="C62" s="8" t="inlineStr">
        <is>
          <t>9.1</t>
        </is>
      </c>
      <c r="D62" s="8" t="inlineStr">
        <is>
          <t>Cumple parcialmente</t>
        </is>
      </c>
      <c r="E62" s="8" t="n">
        <v>70</v>
      </c>
      <c r="F62" s="7" t="inlineStr">
        <is>
          <t>Cuadro 2 por asignatura (3.108 ejemplares; 14,7 % desde 2015; 1 ejemplar por 8 inscripciones). Contradicción: CPA-102 y CPA-505 figuran como «Actualizada» (Cuadro 2) y «Sin títulos» (Cuadro 3). La política 9.1.4 no tiene metas cuantitativas.</t>
        </is>
      </c>
      <c r="G62" s="7" t="inlineStr">
        <is>
          <t>Plan de adquisiciones por asignatura y año con cantidades y costos; contrastar con la bibliografía de los itinerarios (pendiente: 4.5).</t>
        </is>
      </c>
      <c r="H62" s="9" t="inlineStr">
        <is>
          <t>Pendiente</t>
        </is>
      </c>
      <c r="I62" s="10" t="n"/>
    </row>
    <row r="63">
      <c r="A63" s="7" t="inlineStr">
        <is>
          <t>Art. 8, num. 9</t>
        </is>
      </c>
      <c r="B63" s="7" t="inlineStr">
        <is>
          <t>Revistas especializadas, sistemas de información e internet</t>
        </is>
      </c>
      <c r="C63" s="8" t="inlineStr">
        <is>
          <t>9.2–9.4</t>
        </is>
      </c>
      <c r="D63" s="8" t="inlineStr">
        <is>
          <t>Cumple</t>
        </is>
      </c>
      <c r="E63" s="8" t="n">
        <v>80</v>
      </c>
      <c r="F63" s="7" t="inlineStr">
        <is>
          <t>Sin suscripciones propias; acceso por Scopus, Research4Life, SciELO, Dialnet y PERI; 385 y 165 Mbps.</t>
        </is>
      </c>
      <c r="G63" s="7" t="inlineStr">
        <is>
          <t>Gestionar acceso a la base de normas IFRS con material de pago (guías de implementación).</t>
        </is>
      </c>
      <c r="H63" s="9" t="inlineStr">
        <is>
          <t>Pendiente</t>
        </is>
      </c>
      <c r="I63" s="10" t="n"/>
    </row>
    <row r="64">
      <c r="A64" s="7" t="inlineStr">
        <is>
          <t>Art. 8, num. 10; Art. 12, Recursos educativos, criterio 1</t>
        </is>
      </c>
      <c r="B64" s="7" t="inlineStr">
        <is>
          <t>Material multimedia adecuado, suficiente y actualizado según las estrategias</t>
        </is>
      </c>
      <c r="C64" s="8" t="inlineStr">
        <is>
          <t>10</t>
        </is>
      </c>
      <c r="D64" s="8" t="inlineStr">
        <is>
          <t>Cumple parcialmente</t>
        </is>
      </c>
      <c r="E64" s="8" t="n">
        <v>70</v>
      </c>
      <c r="F64" s="7" t="inlineStr">
        <is>
          <t>Los 12 componentes están descritos. Brechas: ERP y herramientas CAAT «No disponible» (Cuadro 3); 106 puestos de laboratorio frente a 3.143 inscritos; datos discordantes (20 frente a 27 equipos en el Monoblock; «3184 estudiantes»).</t>
        </is>
      </c>
      <c r="G64" s="7" t="inlineStr">
        <is>
          <t>Cuantificar requerimientos por asignatura y año, y corregir las cifras discordantes.</t>
        </is>
      </c>
      <c r="H64" s="9" t="inlineStr">
        <is>
          <t>Pendiente</t>
        </is>
      </c>
      <c r="I64" s="10" t="n"/>
    </row>
    <row r="65">
      <c r="A65" s="7" t="inlineStr">
        <is>
          <t>Art. 12, Recursos educativos, criterio 2</t>
        </is>
      </c>
      <c r="B65" s="7" t="inlineStr">
        <is>
          <t>Garantizar el acceso de estudiantes y docentes a sistemas informáticos, internet y wifi</t>
        </is>
      </c>
      <c r="C65" s="8" t="inlineStr">
        <is>
          <t>9.4, 10.12, 15</t>
        </is>
      </c>
      <c r="D65" s="8" t="inlineStr">
        <is>
          <t>Cumple parcialmente</t>
        </is>
      </c>
      <c r="E65" s="8" t="n">
        <v>70</v>
      </c>
      <c r="F65" s="7" t="inlineStr">
        <is>
          <t>Doble enlace de internet y Moodle; pero 15 constata que «La señal de la red inalámbrica es débil en ambos edificios» y 10.12 señala límites de Moodle.</t>
        </is>
      </c>
      <c r="G65" s="7" t="inlineStr">
        <is>
          <t>Fijar metas de cobertura wifi y de capacidad concurrente de la plataforma, con plazos.</t>
        </is>
      </c>
      <c r="H65" s="9" t="inlineStr">
        <is>
          <t>Pendiente</t>
        </is>
      </c>
      <c r="I65" s="10" t="n"/>
    </row>
    <row r="66">
      <c r="A66" s="7" t="inlineStr">
        <is>
          <t>Art. 8, num. 11</t>
        </is>
      </c>
      <c r="B66" s="7" t="inlineStr">
        <is>
          <t>Infraestructura, equipamiento y soporte informático; recursos humanos; política presupuestaria y financiera</t>
        </is>
      </c>
      <c r="C66" s="8" t="inlineStr">
        <is>
          <t>11</t>
        </is>
      </c>
      <c r="D66" s="8" t="inlineStr">
        <is>
          <t>Cumple</t>
        </is>
      </c>
      <c r="E66" s="8" t="n">
        <v>80</v>
      </c>
      <c r="F66" s="7" t="inlineStr">
        <is>
          <t>11.1 a 11.3 con diagnóstico, requerimientos (Cuadros 6 y 9), ejecución presupuestaria 2020-2026, lineamientos, fuentes, fases y riesgos.</t>
        </is>
      </c>
      <c r="G66" s="7" t="inlineStr">
        <is>
          <t>Completar el plazo en blanco del «Aula multipropósito» (Cuadro 6).</t>
        </is>
      </c>
      <c r="H66" s="9" t="inlineStr">
        <is>
          <t>Pendiente</t>
        </is>
      </c>
      <c r="I66" s="10" t="n"/>
    </row>
    <row r="67">
      <c r="A67" s="7" t="inlineStr">
        <is>
          <t>Art. 11, par. V</t>
        </is>
      </c>
      <c r="B67" s="7" t="inlineStr">
        <is>
          <t>Consideración del alcance económico: avances tecnológicos y evaluación de costos humanos y económicos</t>
        </is>
      </c>
      <c r="C67" s="8" t="inlineStr">
        <is>
          <t>3.4, 11</t>
        </is>
      </c>
      <c r="D67" s="8" t="inlineStr">
        <is>
          <t>Cumple parcialmente</t>
        </is>
      </c>
      <c r="E67" s="8" t="n">
        <v>55</v>
      </c>
      <c r="F67" s="7" t="inlineStr">
        <is>
          <t>Avances tecnológicos bien sustentados (3.4). Los requerimientos (75 paralelos adicionales, laboratorios, software, ítems) no tienen costo estimado ni fuente asignada.</t>
        </is>
      </c>
      <c r="G67" s="7" t="inlineStr">
        <is>
          <t>Presupuesto plurianual 2027-2031 con costos por requerimiento y su fuente de financiamiento.</t>
        </is>
      </c>
      <c r="H67" s="9" t="inlineStr">
        <is>
          <t>Pendiente</t>
        </is>
      </c>
      <c r="I67" s="10" t="n"/>
    </row>
    <row r="68">
      <c r="A68" s="7" t="inlineStr">
        <is>
          <t>Art. 12, Implementación</t>
        </is>
      </c>
      <c r="B68" s="7" t="inlineStr">
        <is>
          <t>Sistema de monitoreo de la implementación (planes de asignatura, logro de EC/UC, recursos, estrategias, investigación formativa, interacción social)</t>
        </is>
      </c>
      <c r="C68" s="8" t="inlineStr">
        <is>
          <t>11, 12.1.4</t>
        </is>
      </c>
      <c r="D68" s="8" t="inlineStr">
        <is>
          <t>Cumple parcialmente</t>
        </is>
      </c>
      <c r="E68" s="8" t="n">
        <v>72</v>
      </c>
      <c r="F68" s="7" t="inlineStr">
        <is>
          <t>El monitoreo está en 12.1.4 (Formularios 1 y 2), no en 11, que solo prevé el seguimiento de la ejecución financiera (11.3.2). Los formularios no cubren la pertinencia de los recursos, la investigación formativa ni la interacción social.</t>
        </is>
      </c>
      <c r="G68" s="7" t="inlineStr">
        <is>
          <t>Incluir en 11 una matriz de monitoreo con indicadores, responsables y frecuencia para los seis aspectos del Art. 12.</t>
        </is>
      </c>
      <c r="H68" s="9" t="inlineStr">
        <is>
          <t>Pendiente</t>
        </is>
      </c>
      <c r="I68" s="10" t="n"/>
    </row>
    <row r="69">
      <c r="A69" s="7" t="inlineStr">
        <is>
          <t>Art. 8, num. 12; Art. 12, Evaluación curricular</t>
        </is>
      </c>
      <c r="B69" s="7" t="inlineStr">
        <is>
          <t>Evaluación del plan al concluir, mecanismos de seguimiento anual y evaluación de logro de UC y competencia, eficiencia terminal, impacto y satisfacción</t>
        </is>
      </c>
      <c r="C69" s="8" t="inlineStr">
        <is>
          <t>12.1</t>
        </is>
      </c>
      <c r="D69" s="8" t="inlineStr">
        <is>
          <t>Cumple</t>
        </is>
      </c>
      <c r="E69" s="8" t="n">
        <v>88</v>
      </c>
      <c r="F69" s="7" t="inlineStr">
        <is>
          <t>Modelo CIPP; Cuadro 2 cubre las cuatro dimensiones con indicadores y frecuencia; evaluación integral en 2032 (12.1.6).</t>
        </is>
      </c>
      <c r="G69" s="7" t="inlineStr">
        <is>
          <t>Unificar las instancias (Comisión de Evaluación Curricular, «Comisión Académica del año», Comisión paritaria).</t>
        </is>
      </c>
      <c r="H69" s="9" t="inlineStr">
        <is>
          <t>Pendiente</t>
        </is>
      </c>
      <c r="I69" s="10" t="n"/>
    </row>
    <row r="70">
      <c r="A70" s="7" t="inlineStr">
        <is>
          <t>Art. 8, num. 12</t>
        </is>
      </c>
      <c r="B70" s="7" t="inlineStr">
        <is>
          <t>Estrategias de seguimiento a titulados</t>
        </is>
      </c>
      <c r="C70" s="8" t="inlineStr">
        <is>
          <t>12.2</t>
        </is>
      </c>
      <c r="D70" s="8" t="inlineStr">
        <is>
          <t>Cumple parcialmente</t>
        </is>
      </c>
      <c r="E70" s="8" t="n">
        <v>70</v>
      </c>
      <c r="F70" s="7" t="inlineStr">
        <is>
          <t>Cuatro pasos generales; remite a un «instrumento común» y a «la fórmula del estudio original» que no se definen.</t>
        </is>
      </c>
      <c r="G70" s="7" t="inlineStr">
        <is>
          <t>Anexar el instrumento, el responsable, la muestra y el cronograma (línea base 2026 prevista en 16.2).</t>
        </is>
      </c>
      <c r="H70" s="9" t="inlineStr">
        <is>
          <t>Pendiente</t>
        </is>
      </c>
      <c r="I70" s="10" t="n"/>
    </row>
    <row r="71">
      <c r="A71" s="7" t="inlineStr">
        <is>
          <t>Art. 8, num. 13; Art. 12, Reglamentación</t>
        </is>
      </c>
      <c r="B71" s="7" t="inlineStr">
        <is>
          <t>Reglamentos académicos y administrativos que viabilicen la implementación</t>
        </is>
      </c>
      <c r="C71" s="8" t="inlineStr">
        <is>
          <t>13.1</t>
        </is>
      </c>
      <c r="D71" s="8" t="inlineStr">
        <is>
          <t>Cumple parcialmente</t>
        </is>
      </c>
      <c r="E71" s="8" t="n">
        <v>60</v>
      </c>
      <c r="F71" s="7" t="inlineStr">
        <is>
          <t>Reglamento de Modalidades de Graduación íntegro (13.1.4). Los de prácticas, interacción social, tutoría y comisión de evaluación figuran como «Elaborar». Error: Art. 88, 24 asignaturas «(120 créditos)», cuando 1.° a 3.° año suman 180.</t>
        </is>
      </c>
      <c r="G71" s="7" t="inlineStr">
        <is>
          <t>Anexar al menos los reglamentos de prácticas, interacción social y transición; corregir los 120 créditos por 180.</t>
        </is>
      </c>
      <c r="H71" s="9" t="inlineStr">
        <is>
          <t>Pendiente</t>
        </is>
      </c>
      <c r="I71" s="10" t="n"/>
    </row>
    <row r="72">
      <c r="A72" s="7" t="inlineStr">
        <is>
          <t>Art. 8, num. 13</t>
        </is>
      </c>
      <c r="B72" s="7" t="inlineStr">
        <is>
          <t>Reglamentación del centro de investigación</t>
        </is>
      </c>
      <c r="C72" s="8" t="inlineStr">
        <is>
          <t>13.2</t>
        </is>
      </c>
      <c r="D72" s="8" t="inlineStr">
        <is>
          <t>Cumple parcialmente</t>
        </is>
      </c>
      <c r="E72" s="8" t="n">
        <v>60</v>
      </c>
      <c r="F72" s="7" t="inlineStr">
        <is>
          <t>Solo hay lineamientos (Cuadro 3), con remisión a «las metas del punto 6.1.4», que no existen.</t>
        </is>
      </c>
      <c r="G72" s="7" t="inlineStr">
        <is>
          <t>Presentar el reglamento interno actualizado del IICCFA o su proyecto.</t>
        </is>
      </c>
      <c r="H72" s="9" t="inlineStr">
        <is>
          <t>Pendiente</t>
        </is>
      </c>
      <c r="I72" s="10" t="n"/>
    </row>
    <row r="73">
      <c r="A73" s="7" t="inlineStr">
        <is>
          <t>Art. 8, num. 14; Art. 12, Infraestructura</t>
        </is>
      </c>
      <c r="B73" s="7" t="inlineStr">
        <is>
          <t>Ambientes de aprendizaje requeridos y disponibles en la UMSA u otra institución</t>
        </is>
      </c>
      <c r="C73" s="8" t="inlineStr">
        <is>
          <t>14</t>
        </is>
      </c>
      <c r="D73" s="8" t="inlineStr">
        <is>
          <t>Cumple</t>
        </is>
      </c>
      <c r="E73" s="8" t="n">
        <v>80</v>
      </c>
      <c r="F73" s="7" t="inlineStr">
        <is>
          <t>14.1 a 14.9 cubren los nueve componentes. Inconsistencias: 26 servidores (14.6) frente a 23 (2.6.1); 14.2 alude a la «modalidad híbrida prevista en el punto 5.3.3», que no la trata.</t>
        </is>
      </c>
      <c r="G73" s="7" t="inlineStr">
        <is>
          <t>Distinguir lo requerido de lo disponible y corregir las cifras y remisiones.</t>
        </is>
      </c>
      <c r="H73" s="9" t="inlineStr">
        <is>
          <t>Pendiente</t>
        </is>
      </c>
      <c r="I73" s="10" t="n"/>
    </row>
    <row r="74">
      <c r="A74" s="7" t="inlineStr">
        <is>
          <t>Art. 8, num. 15; Art. 12, Mobiliario</t>
        </is>
      </c>
      <c r="B74" s="7" t="inlineStr">
        <is>
          <t>Mobiliario, equipamiento y materiales requeridos para la formación</t>
        </is>
      </c>
      <c r="C74" s="8" t="inlineStr">
        <is>
          <t>15</t>
        </is>
      </c>
      <c r="D74" s="8" t="inlineStr">
        <is>
          <t>Cumple parcialmente</t>
        </is>
      </c>
      <c r="E74" s="8" t="n">
        <v>75</v>
      </c>
      <c r="F74" s="7" t="inlineStr">
        <is>
          <t>Relevamiento detallado del estado actual. No se especifica lo requerido; las capacidades difieren de 11 (Pabellón A: 606 asientos frente a 320 plazas; Aula 8: 120 frente a 138).</t>
        </is>
      </c>
      <c r="G74" s="7" t="inlineStr">
        <is>
          <t>Añadir un cuadro de requerimientos de mobiliario y equipo y conciliar capacidades con 11.1.2.</t>
        </is>
      </c>
      <c r="H74" s="9" t="inlineStr">
        <is>
          <t>Pendiente</t>
        </is>
      </c>
      <c r="I74" s="10" t="n"/>
    </row>
    <row r="75">
      <c r="A75" s="7" t="inlineStr">
        <is>
          <t>Art. 8, num. 16; Art. 12, Disposiciones de ejecución, criterio 1</t>
        </is>
      </c>
      <c r="B75" s="7" t="inlineStr">
        <is>
          <t>Cuadro de convalidación y homologación entre el plan anterior y el nuevo</t>
        </is>
      </c>
      <c r="C75" s="8" t="inlineStr">
        <is>
          <t>16.1.3</t>
        </is>
      </c>
      <c r="D75" s="8" t="inlineStr">
        <is>
          <t>Cumple</t>
        </is>
      </c>
      <c r="E75" s="8" t="n">
        <v>85</v>
      </c>
      <c r="F75" s="7" t="inlineStr">
        <is>
          <t>43 equivalencias verificadas (34 directas, 4 con cambio de nivel o actualización, 5 convalidaciones). No muestra la carga horaria 2013 frente a la nueva, aunque la homologación exige que se «mantiene … la carga horaria».</t>
        </is>
      </c>
      <c r="G75" s="7" t="inlineStr">
        <is>
          <t>Añadir columnas de horas y créditos de ambos planes.</t>
        </is>
      </c>
      <c r="H75" s="9" t="inlineStr">
        <is>
          <t>Pendiente</t>
        </is>
      </c>
      <c r="I75" s="10" t="n"/>
    </row>
    <row r="76">
      <c r="A76" s="7" t="inlineStr">
        <is>
          <t>Art. 12, Disposiciones de ejecución, criterio 2</t>
        </is>
      </c>
      <c r="B76" s="7" t="inlineStr">
        <is>
          <t>Cuadro de homologación de asignaturas para los docentes titulares</t>
        </is>
      </c>
      <c r="C76" s="8" t="inlineStr">
        <is>
          <t>16.1.3, 16.1.4</t>
        </is>
      </c>
      <c r="D76" s="8" t="inlineStr">
        <is>
          <t>Cumple parcialmente</t>
        </is>
      </c>
      <c r="E76" s="8" t="n">
        <v>75</v>
      </c>
      <c r="F76" s="7" t="inlineStr">
        <is>
          <t>El mismo cuadro «rige … para los docentes titulares», con compensación horaria (16.1.2). No se nomina a los titulares por cátedra ni las horas afectadas.</t>
        </is>
      </c>
      <c r="G76" s="7" t="inlineStr">
        <is>
          <t>Anexar el cuadro nominal de titulares con la cátedra equivalente y la variación de horas.</t>
        </is>
      </c>
      <c r="H76" s="9" t="inlineStr">
        <is>
          <t>Pendiente</t>
        </is>
      </c>
      <c r="I76" s="10" t="n"/>
    </row>
    <row r="77">
      <c r="A77" s="7" t="inlineStr">
        <is>
          <t>Art. 12, Disposiciones de ejecución, criterio 3</t>
        </is>
      </c>
      <c r="B77" s="7" t="inlineStr">
        <is>
          <t>Plan de implementación en cronograma</t>
        </is>
      </c>
      <c r="C77" s="8" t="inlineStr">
        <is>
          <t>16.2</t>
        </is>
      </c>
      <c r="D77" s="8" t="inlineStr">
        <is>
          <t>Cumple parcialmente</t>
        </is>
      </c>
      <c r="E77" s="8" t="n">
        <v>75</v>
      </c>
      <c r="F77" s="7" t="inlineStr">
        <is>
          <t>Cuadro 2 de 2026 a 2032. Incoherencias: 16.3 extingue cada año «cuando el año equivalente … ya está en funcionamiento», pero el Cuadro 2 dicta el 1.° año 2013 en 2027; prevé elaborar planes de asignatura año por año pese a que 4.5 trae los 43; no programa la salida de TUM.</t>
        </is>
      </c>
      <c r="G77" s="7" t="inlineStr">
        <is>
          <t>Armonizar el Cuadro 2 con 16.3 y 4.5, e incluir el hito de la primera salida de TUM (fin de 2028).</t>
        </is>
      </c>
      <c r="H77" s="9" t="inlineStr">
        <is>
          <t>Pendiente</t>
        </is>
      </c>
      <c r="I77" s="10" t="n"/>
    </row>
    <row r="78">
      <c r="A78" s="7" t="inlineStr">
        <is>
          <t>Art. 12, Disposiciones de ejecución, criterio 4</t>
        </is>
      </c>
      <c r="B78" s="7" t="inlineStr">
        <is>
          <t>Política y reglamento de extinción del plan anterior</t>
        </is>
      </c>
      <c r="C78" s="8" t="inlineStr">
        <is>
          <t>16.3</t>
        </is>
      </c>
      <c r="D78" s="8" t="inlineStr">
        <is>
          <t>Cumple parcialmente</t>
        </is>
      </c>
      <c r="E78" s="8" t="n">
        <v>65</v>
      </c>
      <c r="F78" s="7" t="inlineStr">
        <is>
          <t>Política con plazo de graduación de tres años y extinción progresiva; no se anexa reglamento de extinción.</t>
        </is>
      </c>
      <c r="G78" s="7" t="inlineStr">
        <is>
          <t>Anexar el reglamento de extinción y transición.</t>
        </is>
      </c>
      <c r="H78" s="9" t="inlineStr">
        <is>
          <t>Pendiente</t>
        </is>
      </c>
      <c r="I78" s="10" t="n"/>
    </row>
    <row r="79">
      <c r="A79" s="7" t="inlineStr">
        <is>
          <t>Art. 13; Disposición final segunda</t>
        </is>
      </c>
      <c r="B79" s="7" t="inlineStr">
        <is>
          <t>Cuadro comparativo del nivel de innovación con la situación anterior y la posterior</t>
        </is>
      </c>
      <c r="C79" s="8" t="inlineStr">
        <is>
          <t>3.5.4, 3.2.4, 16.1.3</t>
        </is>
      </c>
      <c r="D79" s="8" t="inlineStr">
        <is>
          <t>Cumple parcialmente</t>
        </is>
      </c>
      <c r="E79" s="8" t="n">
        <v>55</v>
      </c>
      <c r="F79" s="7" t="inlineStr">
        <is>
          <t>No hay un cuadro comparativo específico; existen comparaciones parciales: Cuadro 30 (Plan 2013–propuesta–referentes), Cuadro 16 (brechas) y Cuadro 1 de 16 (equivalencias).</t>
        </is>
      </c>
      <c r="G79" s="7" t="inlineStr">
        <is>
          <t>Anexar un cuadro «antes/después» (perfil, competencias, malla, horas, créditos, prácticas, investigación, graduación, evaluación) que indique «nivel: rediseño».</t>
        </is>
      </c>
      <c r="H79" s="9" t="inlineStr">
        <is>
          <t>Pendiente</t>
        </is>
      </c>
      <c r="I79" s="10" t="n"/>
    </row>
    <row r="80">
      <c r="A80" s="7" t="inlineStr">
        <is>
          <t>Art. 14</t>
        </is>
      </c>
      <c r="B80" s="7" t="inlineStr">
        <is>
          <t>Transitabilidad: paso de un currículo a otro sin perjuicio para estudiantes ni docentes, con metodología y reglamentos previos</t>
        </is>
      </c>
      <c r="C80" s="8" t="inlineStr">
        <is>
          <t>16.1, 13.1.4 (Disp. transitorias)</t>
        </is>
      </c>
      <c r="D80" s="8" t="inlineStr">
        <is>
          <t>Cumple parcialmente</t>
        </is>
      </c>
      <c r="E80" s="8" t="n">
        <v>75</v>
      </c>
      <c r="F80" s="7" t="inlineStr">
        <is>
          <t>Principios de no perjuicio, migración voluntaria, reconocimiento de oficio y compensación docente (16.1.1 a 16.1.4); no se anexa el reglamento de transición exigido «con antelación».</t>
        </is>
      </c>
      <c r="G80" s="7" t="inlineStr">
        <is>
          <t>Aprobar el reglamento de transición antes de 2027.</t>
        </is>
      </c>
      <c r="H80" s="9" t="inlineStr">
        <is>
          <t>Pendiente</t>
        </is>
      </c>
      <c r="I80" s="10" t="n"/>
    </row>
    <row r="81">
      <c r="A81" s="7" t="inlineStr">
        <is>
          <t>Art. 11, par. II</t>
        </is>
      </c>
      <c r="B81" s="7" t="inlineStr">
        <is>
          <t>Coherencia con la misión, visión y modelo UMSA, y entre perfil, competencias, estrategias y evaluación</t>
        </is>
      </c>
      <c r="C81" s="8" t="inlineStr">
        <is>
          <t>2, 4.2–4.7</t>
        </is>
      </c>
      <c r="D81" s="8" t="inlineStr">
        <is>
          <t>Cumple parcialmente</t>
        </is>
      </c>
      <c r="E81" s="8" t="n">
        <v>65</v>
      </c>
      <c r="F81" s="7" t="inlineStr">
        <is>
          <t>La coherencia interna es buena (perfil → competencia global → áreas → estrategias y evaluación por evidencias). La coherencia con la UMSA no se demuestra, y el inglés del perfil carece de respaldo curricular (4.4.1).</t>
        </is>
      </c>
      <c r="G81" s="7" t="inlineStr">
        <is>
          <t>Ver Art. 3.III; asegurar que cada atributo del perfil tenga asignatura o actividad que lo desarrolle.</t>
        </is>
      </c>
      <c r="H81" s="9" t="inlineStr">
        <is>
          <t>Pendiente</t>
        </is>
      </c>
      <c r="I81" s="10" t="n"/>
    </row>
    <row r="82">
      <c r="A82" s="7" t="inlineStr">
        <is>
          <t>Art. 11, par. III</t>
        </is>
      </c>
      <c r="B82" s="7" t="inlineStr">
        <is>
          <t>Pertinencia: levantamiento de información del medio externo</t>
        </is>
      </c>
      <c r="C82" s="8" t="inlineStr">
        <is>
          <t>3</t>
        </is>
      </c>
      <c r="D82" s="8" t="inlineStr">
        <is>
          <t>Cumple</t>
        </is>
      </c>
      <c r="E82" s="8" t="n">
        <v>90</v>
      </c>
      <c r="F82" s="7" t="inlineStr">
        <is>
          <t>Ipsos CIESMORI 2025 (160 egresados), BID 2022 (1.931 empresas), FODA IICCFA 2025 y normativa vigente.</t>
        </is>
      </c>
      <c r="G82" s="7" t="inlineStr">
        <is>
          <t>Incorporar consulta directa a empleadores paceños.</t>
        </is>
      </c>
      <c r="H82" s="9" t="inlineStr">
        <is>
          <t>Pendiente</t>
        </is>
      </c>
      <c r="I82" s="10" t="n"/>
    </row>
    <row r="83">
      <c r="A83" s="7" t="inlineStr">
        <is>
          <t>Art. 11, par. IV</t>
        </is>
      </c>
      <c r="B83" s="7" t="inlineStr">
        <is>
          <t>Contexto sociocultural: profesionales responsables, emprendedores y constructores de una sociedad justa e inclusiva</t>
        </is>
      </c>
      <c r="C83" s="8" t="inlineStr">
        <is>
          <t>3.5.1, 4.1.2, 7</t>
        </is>
      </c>
      <c r="D83" s="8" t="inlineStr">
        <is>
          <t>Cumple</t>
        </is>
      </c>
      <c r="E83" s="8" t="n">
        <v>80</v>
      </c>
      <c r="F83" s="7" t="inlineStr">
        <is>
          <t>Interculturalidad (4.1.2), economía plural (3.5.1) y consultoría social (7). El emprendimiento aparece poco en el perfil (solo el rol individual de 4.2.3).</t>
        </is>
      </c>
      <c r="G83" s="7" t="inlineStr">
        <is>
          <t>Reforzar el emprendimiento en el perfil y en las competencias.</t>
        </is>
      </c>
      <c r="H83" s="9" t="inlineStr">
        <is>
          <t>Pendiente</t>
        </is>
      </c>
      <c r="I83" s="10" t="n"/>
    </row>
    <row r="84">
      <c r="A84" s="7" t="inlineStr">
        <is>
          <t>Art. 11, par. VI</t>
        </is>
      </c>
      <c r="B84" s="7" t="inlineStr">
        <is>
          <t>Relación con el mundo laboral</t>
        </is>
      </c>
      <c r="C84" s="8" t="inlineStr">
        <is>
          <t>3.3, 4.8, 5.4</t>
        </is>
      </c>
      <c r="D84" s="8" t="inlineStr">
        <is>
          <t>Cumple parcialmente</t>
        </is>
      </c>
      <c r="E84" s="8" t="n">
        <v>78</v>
      </c>
      <c r="F84" s="7" t="inlineStr">
        <is>
          <t>Vinculación mediante prácticas, trabajo dirigido y proyectos; sin horas mínimas de práctica.</t>
        </is>
      </c>
      <c r="G84" s="7" t="inlineStr">
        <is>
          <t>Ver Art. 12, Prácticas.</t>
        </is>
      </c>
      <c r="H84" s="9" t="inlineStr">
        <is>
          <t>Pendiente</t>
        </is>
      </c>
      <c r="I84" s="10" t="n"/>
    </row>
    <row r="85">
      <c r="A85" s="7" t="inlineStr">
        <is>
          <t>Art. 11, par. VII</t>
        </is>
      </c>
      <c r="B85" s="7" t="inlineStr">
        <is>
          <t>Integralidad y transversalidad</t>
        </is>
      </c>
      <c r="C85" s="8" t="inlineStr">
        <is>
          <t>4.2.6, 4.4.1, 7.2</t>
        </is>
      </c>
      <c r="D85" s="8" t="inlineStr">
        <is>
          <t>Cumple</t>
        </is>
      </c>
      <c r="E85" s="8" t="n">
        <v>82</v>
      </c>
      <c r="F85" s="7" t="inlineStr">
        <is>
          <t>Tres dimensiones de saber y cinco ejes transversales; las dimensiones física y emocional solo se atienden en la extensión (7.2.1).</t>
        </is>
      </c>
      <c r="G85" s="7" t="inlineStr">
        <is>
          <t>Incorporar el bienestar y las actividades físicas como componente formativo.</t>
        </is>
      </c>
      <c r="H85" s="9" t="inlineStr">
        <is>
          <t>Pendiente</t>
        </is>
      </c>
      <c r="I85" s="10" t="n"/>
    </row>
    <row r="86">
      <c r="A86" s="7" t="inlineStr">
        <is>
          <t>Art. 11, par. VIII</t>
        </is>
      </c>
      <c r="B86" s="7" t="inlineStr">
        <is>
          <t>Transferibilidad: actividades prácticas en cantidad y calidad suficientes</t>
        </is>
      </c>
      <c r="C86" s="8" t="inlineStr">
        <is>
          <t>4.6, 4.8, 8.4</t>
        </is>
      </c>
      <c r="D86" s="8" t="inlineStr">
        <is>
          <t>Cumple parcialmente</t>
        </is>
      </c>
      <c r="E86" s="8" t="n">
        <v>70</v>
      </c>
      <c r="F86" s="7" t="inlineStr">
        <is>
          <t>Variedad de actividades (gabinetes, laboratorios, simulación, 874 HIP), pero no se fija la cantidad de prácticas preprofesionales.</t>
        </is>
      </c>
      <c r="G86" s="7" t="inlineStr">
        <is>
          <t>Cuantificar las horas prácticas por año.</t>
        </is>
      </c>
      <c r="H86" s="9" t="inlineStr">
        <is>
          <t>Pendiente</t>
        </is>
      </c>
      <c r="I86" s="10" t="n"/>
    </row>
    <row r="87">
      <c r="A87" s="7" t="inlineStr">
        <is>
          <t>Art. 11, par. IX</t>
        </is>
      </c>
      <c r="B87" s="7" t="inlineStr">
        <is>
          <t>Articulación en ciclos formativos con postgrado</t>
        </is>
      </c>
      <c r="C87" s="8" t="inlineStr">
        <is>
          <t>1.6, 5.4, 7.2.1</t>
        </is>
      </c>
      <c r="D87" s="8" t="inlineStr">
        <is>
          <t>Cumple</t>
        </is>
      </c>
      <c r="E87" s="8" t="n">
        <v>92</v>
      </c>
      <c r="F87" s="7" t="inlineStr">
        <is>
          <t>TUM (2.° año), TS (3.° año), Licenciatura y graduación vía diplomado articulada con la Unidad de Postgrado.</t>
        </is>
      </c>
      <c r="G87" s="7" t="inlineStr">
        <is>
          <t>—</t>
        </is>
      </c>
      <c r="H87" s="9" t="inlineStr">
        <is>
          <t>Pendiente</t>
        </is>
      </c>
      <c r="I87" s="10" t="n"/>
    </row>
  </sheetData>
  <autoFilter ref="A3:I87"/>
  <conditionalFormatting sqref="H4:H87">
    <cfRule type="expression" priority="1" dxfId="0">
      <formula>$H4="Corregido"</formula>
    </cfRule>
    <cfRule type="expression" priority="2" dxfId="1">
      <formula>$H4="En proceso"</formula>
    </cfRule>
    <cfRule type="expression" priority="3" dxfId="2">
      <formula>$H4="Pendiente"</formula>
    </cfRule>
    <cfRule type="expression" priority="4" dxfId="3">
      <formula>$H4="No aplica"</formula>
    </cfRule>
  </conditionalFormatting>
  <conditionalFormatting sqref="D4:D87">
    <cfRule type="expression" priority="5" dxfId="0">
      <formula>$D4="Cumple"</formula>
    </cfRule>
    <cfRule type="expression" priority="6" dxfId="1">
      <formula>$D4="Cumple parcialmente"</formula>
    </cfRule>
    <cfRule type="expression" priority="7" dxfId="2">
      <formula>$D4="No cumple"</formula>
    </cfRule>
  </conditionalFormatting>
  <conditionalFormatting sqref="E4:E87">
    <cfRule type="expression" priority="8" dxfId="0">
      <formula>AND(ISNUMBER($E4),$E4&gt;=85)</formula>
    </cfRule>
    <cfRule type="expression" priority="9" dxfId="1">
      <formula>AND(ISNUMBER($E4),AND($E4&gt;=60,$E4&lt;85))</formula>
    </cfRule>
    <cfRule type="expression" priority="10" dxfId="2">
      <formula>AND(ISNUMBER($E4),$E4&lt;60)</formula>
    </cfRule>
  </conditionalFormatting>
  <dataValidations count="1">
    <dataValidation sqref="H4:H87" showDropDown="0" showInputMessage="0" showErrorMessage="0" allowBlank="1" type="list">
      <formula1>"Pendiente,En proceso,Corregido,No aplica"</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25"/>
  <sheetViews>
    <sheetView zoomScale="90" workbookViewId="0">
      <pane ySplit="3" topLeftCell="A4" activePane="bottomLeft" state="frozen"/>
      <selection pane="bottomLeft" activeCell="A1" sqref="A1"/>
    </sheetView>
  </sheetViews>
  <sheetFormatPr baseColWidth="8" defaultRowHeight="15"/>
  <cols>
    <col width="8" customWidth="1" min="1" max="1"/>
    <col width="34" customWidth="1" min="2" max="2"/>
    <col width="9" customWidth="1" min="3" max="3"/>
    <col width="45" customWidth="1" min="4" max="4"/>
    <col width="45" customWidth="1" min="5" max="5"/>
    <col width="45" customWidth="1" min="6" max="6"/>
    <col width="13" customWidth="1" min="7" max="7"/>
    <col width="30" customWidth="1" min="8" max="8"/>
  </cols>
  <sheetData>
    <row r="1">
      <c r="A1" s="1" t="inlineStr">
        <is>
          <t>Calificación por punto del índice</t>
        </is>
      </c>
    </row>
    <row r="2">
      <c r="A2" s="2" t="inlineStr">
        <is>
          <t>Completitud y calidad de cada punto frente a lo que pide la Resolución HCU N.º 032/2025.</t>
        </is>
      </c>
    </row>
    <row r="3">
      <c r="A3" s="6" t="inlineStr">
        <is>
          <t>Punto</t>
        </is>
      </c>
      <c r="B3" s="6" t="inlineStr">
        <is>
          <t>Título</t>
        </is>
      </c>
      <c r="C3" s="6" t="inlineStr">
        <is>
          <t>Puntaje</t>
        </is>
      </c>
      <c r="D3" s="6" t="inlineStr">
        <is>
          <t>Fortalezas</t>
        </is>
      </c>
      <c r="E3" s="6" t="inlineStr">
        <is>
          <t>Brechas</t>
        </is>
      </c>
      <c r="F3" s="6" t="inlineStr">
        <is>
          <t>Recomendación</t>
        </is>
      </c>
      <c r="G3" s="6" t="inlineStr">
        <is>
          <t>Seguimiento</t>
        </is>
      </c>
      <c r="H3" s="6" t="inlineStr">
        <is>
          <t>Observaciones</t>
        </is>
      </c>
    </row>
    <row r="4">
      <c r="A4" s="8" t="inlineStr">
        <is>
          <t>1</t>
        </is>
      </c>
      <c r="B4" s="7" t="inlineStr">
        <is>
          <t>Identificación del programa/carrera</t>
        </is>
      </c>
      <c r="C4" s="8" t="n">
        <v>92</v>
      </c>
      <c r="D4" s="7" t="inlineStr">
        <is>
          <t>Todos los elementos del Art. 8 num. 1 con respaldo de resoluciones; cuadro año–grado–título; nivel de innovación y declaratoria identificados.</t>
        </is>
      </c>
      <c r="E4" s="7" t="inlineStr">
        <is>
          <t>Cita discordante del Reglamento General de Títulos y Grados (XIII frente a XI Congreso); no se menciona la resolución del HCC de declaratoria.</t>
        </is>
      </c>
      <c r="F4" s="7" t="inlineStr">
        <is>
          <t>Unificar las citas normativas y añadir la resolución del Consejo de Carrera.</t>
        </is>
      </c>
      <c r="G4" s="9" t="inlineStr">
        <is>
          <t>Pendiente</t>
        </is>
      </c>
      <c r="H4" s="10" t="n"/>
    </row>
    <row r="5">
      <c r="A5" s="8" t="inlineStr">
        <is>
          <t>2</t>
        </is>
      </c>
      <c r="B5" s="7" t="inlineStr">
        <is>
          <t>Antecedentes</t>
        </is>
      </c>
      <c r="C5" s="8" t="n">
        <v>78</v>
      </c>
      <c r="D5" s="7" t="inlineStr">
        <is>
          <t>Datos generales completos; estadísticas docentes y estudiantiles 2021-2025 bien analizadas; descripción del organigrama y del personal.</t>
        </is>
      </c>
      <c r="E5" s="7" t="inlineStr">
        <is>
          <t>No se demuestra la alineación de la misión, la visión ni el plan de desarrollo con los de la UMSA (Art. 12); plan de desarrollo en un solo párrafo; organigrama nuevo pendiente.</t>
        </is>
      </c>
      <c r="F5" s="7" t="inlineStr">
        <is>
          <t>Cuadros de alineación misión/visión y ejes–PEI UMSA; organigrama propuesto.</t>
        </is>
      </c>
      <c r="G5" s="9" t="inlineStr">
        <is>
          <t>Pendiente</t>
        </is>
      </c>
      <c r="H5" s="10" t="n"/>
    </row>
    <row r="6">
      <c r="A6" s="8" t="inlineStr">
        <is>
          <t>3</t>
        </is>
      </c>
      <c r="B6" s="7" t="inlineStr">
        <is>
          <t>Justificación de la innovación curricular</t>
        </is>
      </c>
      <c r="C6" s="8" t="n">
        <v>86</v>
      </c>
      <c r="D6" s="7" t="inlineStr">
        <is>
          <t>Evidencia sólida y triangulada (Ipsos, BID, FODA, CTNAC, WEF); Cuadro 12 frente a los criterios del Art. 11; síntesis de necesidades (Cuadro 31).</t>
        </is>
      </c>
      <c r="E6" s="7" t="inlineStr">
        <is>
          <t>No se resaltan las asignaturas que ya no existen ni se describe el Plan 1999; la comparación nacional se reduce a títulos; necesidades departamentales poco desagregadas.</t>
        </is>
      </c>
      <c r="F6" s="7" t="inlineStr">
        <is>
          <t>Cuadro de asignaturas suprimidas o transformadas y comparación curricular con universidades nacionales.</t>
        </is>
      </c>
      <c r="G6" s="9" t="inlineStr">
        <is>
          <t>Pendiente</t>
        </is>
      </c>
      <c r="H6" s="10" t="n"/>
    </row>
    <row r="7">
      <c r="A7" s="8" t="inlineStr">
        <is>
          <t>4.1</t>
        </is>
      </c>
      <c r="B7" s="7" t="inlineStr">
        <is>
          <t>Fundamentos curriculares</t>
        </is>
      </c>
      <c r="C7" s="8" t="n">
        <v>75</v>
      </c>
      <c r="D7" s="7" t="inlineStr">
        <is>
          <t>Cinco fundamentos explícitos; epistemología plural bien articulada; fundamento psicológico con roles definidos.</t>
        </is>
      </c>
      <c r="E7" s="7" t="inlineStr">
        <is>
          <t>No usa el Modelo Educativo UMSA (Res. HCU N.º 057/2025); falta el modelo didáctico; repeticiones (párrafo del 46 %, tabla IES, valores de 2.2.3) y un dato sin fuente.</t>
        </is>
      </c>
      <c r="F7" s="7" t="inlineStr">
        <is>
          <t>Reescribir 4.1.4 con los modelos UMSA y depurar duplicados.</t>
        </is>
      </c>
      <c r="G7" s="9" t="inlineStr">
        <is>
          <t>Pendiente</t>
        </is>
      </c>
      <c r="H7" s="10" t="n"/>
    </row>
    <row r="8">
      <c r="A8" s="8" t="inlineStr">
        <is>
          <t>4.2</t>
        </is>
      </c>
      <c r="B8" s="7" t="inlineStr">
        <is>
          <t>Referentes disciplinares</t>
        </is>
      </c>
      <c r="C8" s="8" t="n">
        <v>88</v>
      </c>
      <c r="D8" s="7" t="inlineStr">
        <is>
          <t>Objeto y objetivo claros; caracterización detallada de roles y funciones; perfil y atributos por dimensión vinculados a evidencia.</t>
        </is>
      </c>
      <c r="E8" s="7" t="inlineStr">
        <is>
          <t>No se vincula con la misión UMSA; el perfil promete inglés técnico sin respaldo curricular.</t>
        </is>
      </c>
      <c r="F8" s="7" t="inlineStr">
        <is>
          <t>Matriz necesidad → atributo → asignatura y vínculo con la misión UMSA.</t>
        </is>
      </c>
      <c r="G8" s="9" t="inlineStr">
        <is>
          <t>Pendiente</t>
        </is>
      </c>
      <c r="H8" s="10" t="n"/>
    </row>
    <row r="9">
      <c r="A9" s="8" t="inlineStr">
        <is>
          <t>4.3</t>
        </is>
      </c>
      <c r="B9" s="7" t="inlineStr">
        <is>
          <t>Plan de estudios propuesto</t>
        </is>
      </c>
      <c r="C9" s="8" t="n">
        <v>85</v>
      </c>
      <c r="D9" s="7" t="inlineStr">
        <is>
          <t>Modelo por competencias con cinco niveles de desagregación; principios del Art. 12 bien explicitados; objetivos ligados a brechas; duración y ciclos claros.</t>
        </is>
      </c>
      <c r="E9" s="7" t="inlineStr">
        <is>
          <t>Coherencia sustentada en el SUB y no en el Modelo UMSA; anualización sin justificar; brechas citadas sin dato (objetivos 2 y 9).</t>
        </is>
      </c>
      <c r="F9" s="7" t="inlineStr">
        <is>
          <t>Fundamentar con la Res. HCU N.º 057/2025 y justificar el régimen anual.</t>
        </is>
      </c>
      <c r="G9" s="9" t="inlineStr">
        <is>
          <t>Pendiente</t>
        </is>
      </c>
      <c r="H9" s="10" t="n"/>
    </row>
    <row r="10">
      <c r="A10" s="8" t="inlineStr">
        <is>
          <t>4.4</t>
        </is>
      </c>
      <c r="B10" s="7" t="inlineStr">
        <is>
          <t>Estructura curricular</t>
        </is>
      </c>
      <c r="C10" s="8" t="n">
        <v>82</v>
      </c>
      <c r="D10" s="7" t="inlineStr">
        <is>
          <t>Malla completa y verificada (sigla, horas, créditos, prerrequisitos); cuadro de áreas exacto; cargas presenciales y no presenciales por año.</t>
        </is>
      </c>
      <c r="E10" s="7" t="inlineStr">
        <is>
          <t>Mapa sin unidades de competencia (pendiente: 4.5); inglés solo extracurricular; sin cuadro de cargas por asignatura ni malla gráfica.</t>
        </is>
      </c>
      <c r="F10" s="7" t="inlineStr">
        <is>
          <t>Incluir las 43 UC en 4.4.2 y el cuadro de cargas por asignatura.</t>
        </is>
      </c>
      <c r="G10" s="9" t="inlineStr">
        <is>
          <t>Pendiente</t>
        </is>
      </c>
      <c r="H10" s="10" t="n"/>
    </row>
    <row r="11">
      <c r="A11" s="8" t="inlineStr">
        <is>
          <t>4.6</t>
        </is>
      </c>
      <c r="B11" s="7" t="inlineStr">
        <is>
          <t>Estrategias de aprendizaje y de enseñanza</t>
        </is>
      </c>
      <c r="C11" s="8" t="n">
        <v>88</v>
      </c>
      <c r="D11" s="7" t="inlineStr">
        <is>
          <t>Clara diferenciación estudiante/docente; actividades autónomas y colectivas; métodos activos y recursos tipificados.</t>
        </is>
      </c>
      <c r="E11" s="7" t="inlineStr">
        <is>
          <t>La coherencia por elemento de competencia depende de 4.5; los recursos no se cuantifican.</t>
        </is>
      </c>
      <c r="F11" s="7" t="inlineStr">
        <is>
          <t>Verificar la coherencia con los itinerarios al integrar 4.5.</t>
        </is>
      </c>
      <c r="G11" s="9" t="inlineStr">
        <is>
          <t>Pendiente</t>
        </is>
      </c>
      <c r="H11" s="10" t="n"/>
    </row>
    <row r="12">
      <c r="A12" s="8" t="inlineStr">
        <is>
          <t>4.7</t>
        </is>
      </c>
      <c r="B12" s="7" t="inlineStr">
        <is>
          <t>Evaluación de aprendizajes</t>
        </is>
      </c>
      <c r="C12" s="8" t="n">
        <v>82</v>
      </c>
      <c r="D12" s="7" t="inlineStr">
        <is>
          <t>Evaluación diagnóstica, formativa y sumativa; evidencias de desempeño, producto y conocimiento; nota mínima de 51.</t>
        </is>
      </c>
      <c r="E12" s="7" t="inlineStr">
        <is>
          <t>Poca precisión sobre instancias del RRAE (recuperación, segunda instancia); ponderación solo cualitativa; título duplicado.</t>
        </is>
      </c>
      <c r="F12" s="7" t="inlineStr">
        <is>
          <t>Detallar instancias y un rango orientativo de ponderación de las evidencias prácticas.</t>
        </is>
      </c>
      <c r="G12" s="9" t="inlineStr">
        <is>
          <t>Pendiente</t>
        </is>
      </c>
      <c r="H12" s="10" t="n"/>
    </row>
    <row r="13">
      <c r="A13" s="8" t="inlineStr">
        <is>
          <t>4.8</t>
        </is>
      </c>
      <c r="B13" s="7" t="inlineStr">
        <is>
          <t>Prácticas preprofesionales</t>
        </is>
      </c>
      <c r="C13" s="8" t="n">
        <v>55</v>
      </c>
      <c r="D13" s="7" t="inlineStr">
        <is>
          <t>Niveles progresivos, doble tutoría, ámbitos con convenio y reconocimiento de la experiencia laboral.</t>
        </is>
      </c>
      <c r="E13" s="7" t="inlineStr">
        <is>
          <t>No fija horas mínimas (exigidas por el Art. 12); no identifica las asignaturas que las acogen; remite a un reglamento aún por elaborar.</t>
        </is>
      </c>
      <c r="F13" s="7" t="inlineStr">
        <is>
          <t>Definir horas por año, asignaturas vinculadas y acreditación dentro del plan.</t>
        </is>
      </c>
      <c r="G13" s="9" t="inlineStr">
        <is>
          <t>Pendiente</t>
        </is>
      </c>
      <c r="H13" s="10" t="n"/>
    </row>
    <row r="14">
      <c r="A14" s="8" t="inlineStr">
        <is>
          <t>5</t>
        </is>
      </c>
      <c r="B14" s="7" t="inlineStr">
        <is>
          <t>Admisión, promoción y graduación</t>
        </is>
      </c>
      <c r="C14" s="8" t="n">
        <v>72</v>
      </c>
      <c r="D14" s="7" t="inlineStr">
        <is>
          <t>Admisión bien normada (Res. HCU N.º 565/2024); cursos de temporada y mesas de examen definidos; modalidades coherentes con el Reglamento de Graduación.</t>
        </is>
      </c>
      <c r="E14" s="7" t="inlineStr">
        <is>
          <t>Modalidades sin sigla, carga horaria ni créditos; plazos de suspensión y reincorporación no fijados; referencias al 5.3.5 eliminado.</t>
        </is>
      </c>
      <c r="F14" s="7" t="inlineStr">
        <is>
          <t>Cuadro de modalidades con sigla, horas y créditos; consignar plazos.</t>
        </is>
      </c>
      <c r="G14" s="9" t="inlineStr">
        <is>
          <t>Pendiente</t>
        </is>
      </c>
      <c r="H14" s="10" t="n"/>
    </row>
    <row r="15">
      <c r="A15" s="8" t="inlineStr">
        <is>
          <t>6</t>
        </is>
      </c>
      <c r="B15" s="7" t="inlineStr">
        <is>
          <t>Investigación</t>
        </is>
      </c>
      <c r="C15" s="8" t="n">
        <v>72</v>
      </c>
      <c r="D15" s="7" t="inlineStr">
        <is>
          <t>Política alineada con la UMSA; tres niveles de articulación; ocho líneas en cuatro grandes áreas.</t>
        </is>
      </c>
      <c r="E15" s="7" t="inlineStr">
        <is>
          <t>Horas en el Instituto no definidas; líneas sin descripción ni aprobación; el reglamento de graduación no exige adscripción a líneas.</t>
        </is>
      </c>
      <c r="F15" s="7" t="inlineStr">
        <is>
          <t>Describir líneas, fijar horas en el IICCFA y ligar los trabajos de grado a las LI.</t>
        </is>
      </c>
      <c r="G15" s="9" t="inlineStr">
        <is>
          <t>Pendiente</t>
        </is>
      </c>
      <c r="H15" s="10" t="n"/>
    </row>
    <row r="16">
      <c r="A16" s="8" t="inlineStr">
        <is>
          <t>7</t>
        </is>
      </c>
      <c r="B16" s="7" t="inlineStr">
        <is>
          <t>Interacción social y extensión universitaria</t>
        </is>
      </c>
      <c r="C16" s="8" t="n">
        <v>60</v>
      </c>
      <c r="D16" s="7" t="inlineStr">
        <is>
          <t>Políticas y líneas de interacción social y de extensión diferenciadas; consultoría social contable articulada con prácticas.</t>
        </is>
      </c>
      <c r="E16" s="7" t="inlineStr">
        <is>
          <t>Sin horas de interacción social demostrables (Art. 12); políticas breves y en parte aspiracionales; título duplicado y remisión a 7.1.3 inexistente (pendiente conocido).</t>
        </is>
      </c>
      <c r="F16" s="7" t="inlineStr">
        <is>
          <t>Fijar horas, evidencias y responsables por línea.</t>
        </is>
      </c>
      <c r="G16" s="9" t="inlineStr">
        <is>
          <t>Pendiente</t>
        </is>
      </c>
      <c r="H16" s="10" t="n"/>
    </row>
    <row r="17">
      <c r="A17" s="8" t="inlineStr">
        <is>
          <t>8</t>
        </is>
      </c>
      <c r="B17" s="7" t="inlineStr">
        <is>
          <t>Organización del proceso curricular</t>
        </is>
      </c>
      <c r="C17" s="8" t="n">
        <v>72</v>
      </c>
      <c r="D17" s="7" t="inlineStr">
        <is>
          <t>Semanas, horas, créditos y carga de investigación coherentes con la malla; detalle de HIP por asignatura verificado (874 h).</t>
        </is>
      </c>
      <c r="E17" s="7" t="inlineStr">
        <is>
          <t>No fija el mínimo ni el máximo de estudiantes por paralelo (Art. 12) y contradice 11.1.1; remisión errónea a 4.3.5; unidades horarias mezcladas.</t>
        </is>
      </c>
      <c r="F17" s="7" t="inlineStr">
        <is>
          <t>Fijar mínimos y máximos en 8.6 y unificar unidades.</t>
        </is>
      </c>
      <c r="G17" s="9" t="inlineStr">
        <is>
          <t>Pendiente</t>
        </is>
      </c>
      <c r="H17" s="10" t="n"/>
    </row>
    <row r="18">
      <c r="A18" s="8" t="inlineStr">
        <is>
          <t>9</t>
        </is>
      </c>
      <c r="B18" s="7" t="inlineStr">
        <is>
          <t>Material bibliográfico</t>
        </is>
      </c>
      <c r="C18" s="8" t="n">
        <v>78</v>
      </c>
      <c r="D18" s="7" t="inlineStr">
        <is>
          <t>Análisis de suficiencia por asignatura con vigencia y relación ejemplar/inscripción; política de actualización; acceso a bases de datos.</t>
        </is>
      </c>
      <c r="E18" s="7" t="inlineStr">
        <is>
          <t>Contradicción entre los Cuadros 2 y 3; sin metas cuantitativas ni costos; sin suscripciones propias.</t>
        </is>
      </c>
      <c r="F18" s="7" t="inlineStr">
        <is>
          <t>Plan de adquisiciones cuantificado y conciliado con la bibliografía de 4.5.</t>
        </is>
      </c>
      <c r="G18" s="9" t="inlineStr">
        <is>
          <t>Pendiente</t>
        </is>
      </c>
      <c r="H18" s="10" t="n"/>
    </row>
    <row r="19">
      <c r="A19" s="8" t="inlineStr">
        <is>
          <t>10</t>
        </is>
      </c>
      <c r="B19" s="7" t="inlineStr">
        <is>
          <t>Recursos educativos</t>
        </is>
      </c>
      <c r="C19" s="8" t="n">
        <v>78</v>
      </c>
      <c r="D19" s="7" t="inlineStr">
        <is>
          <t>Cobertura de los 12 componentes del Art. 8 num. 10; brechas de software identificadas (ERP, CAAT).</t>
        </is>
      </c>
      <c r="E19" s="7" t="inlineStr">
        <is>
          <t>Capacidad de laboratorios insuficiente; cifras discordantes (20 frente a 27 equipos; 3.184 estudiantes); erratas.</t>
        </is>
      </c>
      <c r="F19" s="7" t="inlineStr">
        <is>
          <t>Cuantificar requerimientos y corregir cifras.</t>
        </is>
      </c>
      <c r="G19" s="9" t="inlineStr">
        <is>
          <t>Pendiente</t>
        </is>
      </c>
      <c r="H19" s="10" t="n"/>
    </row>
    <row r="20">
      <c r="A20" s="8" t="inlineStr">
        <is>
          <t>11</t>
        </is>
      </c>
      <c r="B20" s="7" t="inlineStr">
        <is>
          <t>Implementación del proyecto curricular</t>
        </is>
      </c>
      <c r="C20" s="8" t="n">
        <v>72</v>
      </c>
      <c r="D20" s="7" t="inlineStr">
        <is>
          <t>Diagnóstico de infraestructura y docentes; requerimientos con plazos; análisis de ejecución presupuestaria; fases y matriz de riesgos.</t>
        </is>
      </c>
      <c r="E20" s="7" t="inlineStr">
        <is>
          <t>Requerimientos sin costo; no hay sistema de monitoreo de la implementación en este punto; remite a metas de 8.6 que no existen; plazo en blanco.</t>
        </is>
      </c>
      <c r="F20" s="7" t="inlineStr">
        <is>
          <t>Presupuesto plurianual y matriz de monitoreo según el Art. 12.</t>
        </is>
      </c>
      <c r="G20" s="9" t="inlineStr">
        <is>
          <t>Pendiente</t>
        </is>
      </c>
      <c r="H20" s="10" t="n"/>
    </row>
    <row r="21">
      <c r="A21" s="8" t="inlineStr">
        <is>
          <t>12</t>
        </is>
      </c>
      <c r="B21" s="7" t="inlineStr">
        <is>
          <t>Evaluación curricular</t>
        </is>
      </c>
      <c r="C21" s="8" t="n">
        <v>84</v>
      </c>
      <c r="D21" s="7" t="inlineStr">
        <is>
          <t>Modelo CIPP; dimensiones e indicadores del Art. 12 completos; formularios de monitoreo; evaluación integral en 2032.</t>
        </is>
      </c>
      <c r="E21" s="7" t="inlineStr">
        <is>
          <t>Instancias responsables confusas; seguimiento a titulados sin instrumento ni responsable; párrafo duplicado.</t>
        </is>
      </c>
      <c r="F21" s="7" t="inlineStr">
        <is>
          <t>Unificar la comisión responsable y anexar el instrumento de seguimiento.</t>
        </is>
      </c>
      <c r="G21" s="9" t="inlineStr">
        <is>
          <t>Pendiente</t>
        </is>
      </c>
      <c r="H21" s="10" t="n"/>
    </row>
    <row r="22">
      <c r="A22" s="8" t="inlineStr">
        <is>
          <t>13</t>
        </is>
      </c>
      <c r="B22" s="7" t="inlineStr">
        <is>
          <t>Reglamentación</t>
        </is>
      </c>
      <c r="C22" s="8" t="n">
        <v>70</v>
      </c>
      <c r="D22" s="7" t="inlineStr">
        <is>
          <t>Normativa aplicable inventariada; Reglamento de Modalidades de Graduación completo y coherente con las decisiones adoptadas; cuadro de reglamentos a actualizar.</t>
        </is>
      </c>
      <c r="E22" s="7" t="inlineStr">
        <is>
          <t>Reglamentos clave por elaborar (prácticas, interacción social, transición); el del Instituto solo con lineamientos; error de «120 créditos»; descripción imprecisa de las Res. HCF N.º 1057 y 1126/2026 como «aprobación del Rediseño».</t>
        </is>
      </c>
      <c r="F22" s="7" t="inlineStr">
        <is>
          <t>Anexar los reglamentos faltantes y corregir errores.</t>
        </is>
      </c>
      <c r="G22" s="9" t="inlineStr">
        <is>
          <t>Pendiente</t>
        </is>
      </c>
      <c r="H22" s="10" t="n"/>
    </row>
    <row r="23">
      <c r="A23" s="8" t="inlineStr">
        <is>
          <t>14</t>
        </is>
      </c>
      <c r="B23" s="7" t="inlineStr">
        <is>
          <t>Infraestructura y equipamiento</t>
        </is>
      </c>
      <c r="C23" s="8" t="n">
        <v>80</v>
      </c>
      <c r="D23" s="7" t="inlineStr">
        <is>
          <t>Cobertura de los nueve componentes con superficies, capacidades e imágenes; valoración crítica de la suficiencia.</t>
        </is>
      </c>
      <c r="E23" s="7" t="inlineStr">
        <is>
          <t>Cifras discordantes con otros puntos; remisión errónea a 5.3.3; lo requerido no se separa de lo disponible.</t>
        </is>
      </c>
      <c r="F23" s="7" t="inlineStr">
        <is>
          <t>Conciliar datos y separar requerimientos.</t>
        </is>
      </c>
      <c r="G23" s="9" t="inlineStr">
        <is>
          <t>Pendiente</t>
        </is>
      </c>
      <c r="H23" s="10" t="n"/>
    </row>
    <row r="24">
      <c r="A24" s="8" t="inlineStr">
        <is>
          <t>15</t>
        </is>
      </c>
      <c r="B24" s="7" t="inlineStr">
        <is>
          <t>Mobiliario, equipamiento y materiales</t>
        </is>
      </c>
      <c r="C24" s="8" t="n">
        <v>80</v>
      </c>
      <c r="D24" s="7" t="inlineStr">
        <is>
          <t>Relevamiento de campo de octubre de 2026 por área y estado; archivo físico y digital documentados.</t>
        </is>
      </c>
      <c r="E24" s="7" t="inlineStr">
        <is>
          <t>No especifica lo requerido; capacidades discordantes con 11; sin depósito de materiales.</t>
        </is>
      </c>
      <c r="F24" s="7" t="inlineStr">
        <is>
          <t>Cuadro de requerimientos y conciliación de capacidades.</t>
        </is>
      </c>
      <c r="G24" s="9" t="inlineStr">
        <is>
          <t>Pendiente</t>
        </is>
      </c>
      <c r="H24" s="10" t="n"/>
    </row>
    <row r="25">
      <c r="A25" s="8" t="inlineStr">
        <is>
          <t>16</t>
        </is>
      </c>
      <c r="B25" s="7" t="inlineStr">
        <is>
          <t>Disposiciones de ejecución</t>
        </is>
      </c>
      <c r="C25" s="8" t="n">
        <v>75</v>
      </c>
      <c r="D25" s="7" t="inlineStr">
        <is>
          <t>Cuadro completo de 43 equivalencias (conteos verificados); principios de transitabilidad; cronograma 2026-2032; política de extinción con plazo.</t>
        </is>
      </c>
      <c r="E25" s="7" t="inlineStr">
        <is>
          <t>Sin horas en las equivalencias; sin reglamento de extinción; incoherencias del cronograma con 16.3 y con 4.5; salida de TUM no programada.</t>
        </is>
      </c>
      <c r="F25" s="7" t="inlineStr">
        <is>
          <t>Añadir horas, anexar el reglamento y armonizar el cronograma.</t>
        </is>
      </c>
      <c r="G25" s="9" t="inlineStr">
        <is>
          <t>Pendiente</t>
        </is>
      </c>
      <c r="H25" s="10" t="n"/>
    </row>
  </sheetData>
  <autoFilter ref="A3:H25"/>
  <conditionalFormatting sqref="G4:G25">
    <cfRule type="expression" priority="1" dxfId="0">
      <formula>$G4="Corregido"</formula>
    </cfRule>
    <cfRule type="expression" priority="2" dxfId="1">
      <formula>$G4="En proceso"</formula>
    </cfRule>
    <cfRule type="expression" priority="3" dxfId="2">
      <formula>$G4="Pendiente"</formula>
    </cfRule>
    <cfRule type="expression" priority="4" dxfId="3">
      <formula>$G4="No aplica"</formula>
    </cfRule>
  </conditionalFormatting>
  <conditionalFormatting sqref="C4:C25">
    <cfRule type="expression" priority="5" dxfId="0">
      <formula>AND(ISNUMBER($C4),$C4&gt;=85)</formula>
    </cfRule>
    <cfRule type="expression" priority="6" dxfId="1">
      <formula>AND(ISNUMBER($C4),AND($C4&gt;=60,$C4&lt;85))</formula>
    </cfRule>
    <cfRule type="expression" priority="7" dxfId="2">
      <formula>AND(ISNUMBER($C4),$C4&lt;60)</formula>
    </cfRule>
  </conditionalFormatting>
  <dataValidations count="1">
    <dataValidation sqref="G4:G25" showDropDown="0" showInputMessage="0" showErrorMessage="0" allowBlank="1" type="list">
      <formula1>"Pendiente,En proceso,Corregido,No aplica"</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98"/>
  <sheetViews>
    <sheetView zoomScale="90" workbookViewId="0">
      <pane ySplit="3" topLeftCell="A4" activePane="bottomLeft" state="frozen"/>
      <selection pane="bottomLeft" activeCell="A1" sqref="A1"/>
    </sheetView>
  </sheetViews>
  <sheetFormatPr baseColWidth="8" defaultRowHeight="15"/>
  <cols>
    <col width="9" customWidth="1" min="1" max="1"/>
    <col width="8" customWidth="1" min="2" max="2"/>
    <col width="10" customWidth="1" min="3" max="3"/>
    <col width="16" customWidth="1" min="4" max="4"/>
    <col width="24" customWidth="1" min="5" max="5"/>
    <col width="70" customWidth="1" min="6" max="6"/>
    <col width="40" customWidth="1" min="7" max="7"/>
    <col width="13" customWidth="1" min="8" max="8"/>
    <col width="25" customWidth="1" min="9" max="9"/>
  </cols>
  <sheetData>
    <row r="1">
      <c r="A1" s="1" t="inlineStr">
        <is>
          <t>Términos de coherencia, por punto y página</t>
        </is>
      </c>
    </row>
    <row r="2">
      <c r="A2" s="2" t="inlineStr">
        <is>
          <t>Ya aplicados en el Word revisado (Seguimiento = Corregido). «Mantener» indica menciones que no se cambian. Página según el Word antes del cambio.</t>
        </is>
      </c>
    </row>
    <row r="3">
      <c r="A3" s="6" t="inlineStr">
        <is>
          <t>Punto</t>
        </is>
      </c>
      <c r="B3" s="6" t="inlineStr">
        <is>
          <t>Página</t>
        </is>
      </c>
      <c r="C3" s="6" t="inlineStr">
        <is>
          <t>Ubicación</t>
        </is>
      </c>
      <c r="D3" s="6" t="inlineStr">
        <is>
          <t>Categoría</t>
        </is>
      </c>
      <c r="E3" s="6" t="inlineStr">
        <is>
          <t>Término</t>
        </is>
      </c>
      <c r="F3" s="6" t="inlineStr">
        <is>
          <t>Contexto</t>
        </is>
      </c>
      <c r="G3" s="6" t="inlineStr">
        <is>
          <t>Cambiar a</t>
        </is>
      </c>
      <c r="H3" s="6" t="inlineStr">
        <is>
          <t>Seguimiento</t>
        </is>
      </c>
      <c r="I3" s="6" t="inlineStr">
        <is>
          <t>Observaciones</t>
        </is>
      </c>
    </row>
    <row r="4">
      <c r="A4" s="8" t="inlineStr">
        <is>
          <t>1.2</t>
        </is>
      </c>
      <c r="B4" s="8" t="n">
        <v>12</v>
      </c>
      <c r="C4" s="8" t="inlineStr">
        <is>
          <t>Tabla</t>
        </is>
      </c>
      <c r="D4" s="7" t="inlineStr">
        <is>
          <t>Contador Público Autorizado</t>
        </is>
      </c>
      <c r="E4" s="7" t="inlineStr">
        <is>
          <t>Contador Público Autorizado</t>
        </is>
      </c>
      <c r="F4" s="7" t="inlineStr">
        <is>
          <t>…ca y del título en provisión nacional de Auditor Financiero por el de Contador Público Autorizado.…</t>
        </is>
      </c>
      <c r="G4" s="7" t="inlineStr">
        <is>
          <t>Mantener: se refiere al título en provisión nacional</t>
        </is>
      </c>
      <c r="H4" s="9" t="inlineStr">
        <is>
          <t>No aplica</t>
        </is>
      </c>
      <c r="I4" s="10" t="n"/>
    </row>
    <row r="5">
      <c r="A5" s="8" t="inlineStr">
        <is>
          <t>1.4</t>
        </is>
      </c>
      <c r="B5" s="8" t="n">
        <v>13</v>
      </c>
      <c r="C5" s="8" t="inlineStr">
        <is>
          <t>Tabla</t>
        </is>
      </c>
      <c r="D5" s="7" t="inlineStr">
        <is>
          <t>Plan 2027/2024</t>
        </is>
      </c>
      <c r="E5" s="7" t="inlineStr">
        <is>
          <t>Plan de Estudios 2024</t>
        </is>
      </c>
      <c r="F5" s="7" t="inlineStr">
        <is>
          <t>Plan de Estudios 2024…</t>
        </is>
      </c>
      <c r="G5" s="7" t="inlineStr">
        <is>
          <t>Mantener: alude al Plan de Estudios 2024 abrogado (Res. HCU N.º 016/2025), no al rediseño</t>
        </is>
      </c>
      <c r="H5" s="9" t="inlineStr">
        <is>
          <t>No aplica</t>
        </is>
      </c>
      <c r="I5" s="10" t="n"/>
    </row>
    <row r="6">
      <c r="A6" s="8" t="inlineStr">
        <is>
          <t>1.6</t>
        </is>
      </c>
      <c r="B6" s="8" t="n">
        <v>14</v>
      </c>
      <c r="C6" s="8" t="inlineStr">
        <is>
          <t>Tabla</t>
        </is>
      </c>
      <c r="D6" s="7" t="inlineStr">
        <is>
          <t>Contador Público Autorizado</t>
        </is>
      </c>
      <c r="E6" s="7" t="inlineStr">
        <is>
          <t>Contador Público Autorizado</t>
        </is>
      </c>
      <c r="F6" s="7" t="inlineStr">
        <is>
          <t>Contador Público Autorizado…</t>
        </is>
      </c>
      <c r="G6" s="7" t="inlineStr">
        <is>
          <t>Mantener: se refiere al título en provisión nacional</t>
        </is>
      </c>
      <c r="H6" s="9" t="inlineStr">
        <is>
          <t>No aplica</t>
        </is>
      </c>
      <c r="I6" s="10" t="n"/>
    </row>
    <row r="7">
      <c r="A7" s="8" t="inlineStr">
        <is>
          <t>1.10</t>
        </is>
      </c>
      <c r="B7" s="8" t="n">
        <v>14</v>
      </c>
      <c r="C7" s="8" t="inlineStr">
        <is>
          <t>Texto</t>
        </is>
      </c>
      <c r="D7" s="7" t="inlineStr">
        <is>
          <t>Contador Público Autorizado</t>
        </is>
      </c>
      <c r="E7" s="7" t="inlineStr">
        <is>
          <t>Contador Público Autorizado</t>
        </is>
      </c>
      <c r="F7" s="7" t="inlineStr">
        <is>
          <t>Título en provisión nacional de Contador Público Autorizado, conforme a la Resolución del Honorable Consejo Universitario N.º 438…</t>
        </is>
      </c>
      <c r="G7" s="7" t="inlineStr">
        <is>
          <t>Mantener: se refiere al título en provisión nacional</t>
        </is>
      </c>
      <c r="H7" s="9" t="inlineStr">
        <is>
          <t>No aplica</t>
        </is>
      </c>
      <c r="I7" s="10" t="n"/>
    </row>
    <row r="8">
      <c r="A8" s="8" t="inlineStr">
        <is>
          <t>2.1</t>
        </is>
      </c>
      <c r="B8" s="8" t="n">
        <v>17</v>
      </c>
      <c r="C8" s="8" t="inlineStr">
        <is>
          <t>Tabla</t>
        </is>
      </c>
      <c r="D8" s="7" t="inlineStr">
        <is>
          <t>Contador Público Autorizado</t>
        </is>
      </c>
      <c r="E8" s="7" t="inlineStr">
        <is>
          <t>Contador Público Autorizado</t>
        </is>
      </c>
      <c r="F8" s="7" t="inlineStr">
        <is>
          <t>Contador Público Autorizado…</t>
        </is>
      </c>
      <c r="G8" s="7" t="inlineStr">
        <is>
          <t>Mantener: se refiere al título en provisión nacional</t>
        </is>
      </c>
      <c r="H8" s="9" t="inlineStr">
        <is>
          <t>No aplica</t>
        </is>
      </c>
      <c r="I8" s="10" t="n"/>
    </row>
    <row r="9">
      <c r="A9" s="8" t="inlineStr">
        <is>
          <t>2.7.1</t>
        </is>
      </c>
      <c r="B9" s="8" t="n">
        <v>26</v>
      </c>
      <c r="C9" s="8" t="inlineStr">
        <is>
          <t>Tabla</t>
        </is>
      </c>
      <c r="D9" s="7" t="inlineStr">
        <is>
          <t>Contextual</t>
        </is>
      </c>
      <c r="E9" s="7" t="inlineStr">
        <is>
          <t>Contextual</t>
        </is>
      </c>
      <c r="F9" s="7" t="inlineStr">
        <is>
          <t>Área Contextual…</t>
        </is>
      </c>
      <c r="G9" s="7" t="inlineStr">
        <is>
          <t>Mantener: ya dice «Área Contextual»</t>
        </is>
      </c>
      <c r="H9" s="9" t="inlineStr">
        <is>
          <t>No aplica</t>
        </is>
      </c>
      <c r="I9" s="10" t="n"/>
    </row>
    <row r="10">
      <c r="A10" s="8" t="inlineStr">
        <is>
          <t>2.7.1</t>
        </is>
      </c>
      <c r="B10" s="8" t="n">
        <v>26</v>
      </c>
      <c r="C10" s="8" t="inlineStr">
        <is>
          <t>Tabla</t>
        </is>
      </c>
      <c r="D10" s="7" t="inlineStr">
        <is>
          <t>Contextual</t>
        </is>
      </c>
      <c r="E10" s="7" t="inlineStr">
        <is>
          <t>Contextual</t>
        </is>
      </c>
      <c r="F10" s="7" t="inlineStr">
        <is>
          <t>Total Área Contextual…</t>
        </is>
      </c>
      <c r="G10" s="7" t="inlineStr">
        <is>
          <t>Mantener: ya dice «Área Contextual»</t>
        </is>
      </c>
      <c r="H10" s="9" t="inlineStr">
        <is>
          <t>No aplica</t>
        </is>
      </c>
      <c r="I10" s="10" t="n"/>
    </row>
    <row r="11">
      <c r="A11" s="8" t="inlineStr">
        <is>
          <t>2.7.1</t>
        </is>
      </c>
      <c r="B11" s="8" t="n">
        <v>26</v>
      </c>
      <c r="C11" s="8" t="inlineStr">
        <is>
          <t>Texto</t>
        </is>
      </c>
      <c r="D11" s="7" t="inlineStr">
        <is>
          <t>Contextual</t>
        </is>
      </c>
      <c r="E11" s="7" t="inlineStr">
        <is>
          <t>contextual</t>
        </is>
      </c>
      <c r="F11" s="7" t="inlineStr">
        <is>
          <t>… área contable y de auditoría concentran 73 cargas horarias y el área contextual 35, lo que refleja la distribución de las asignaturas por áreas.…</t>
        </is>
      </c>
      <c r="G11" s="7" t="inlineStr">
        <is>
          <t>Área Contextual (o «del Área Contextual»)</t>
        </is>
      </c>
      <c r="H11" s="9" t="inlineStr">
        <is>
          <t>Corregido</t>
        </is>
      </c>
      <c r="I11" s="10" t="inlineStr">
        <is>
          <t>Aplicado en el Word revisado</t>
        </is>
      </c>
    </row>
    <row r="12">
      <c r="A12" s="8" t="inlineStr">
        <is>
          <t>2.7.1</t>
        </is>
      </c>
      <c r="B12" s="8" t="n">
        <v>26</v>
      </c>
      <c r="C12" s="8" t="inlineStr">
        <is>
          <t>Tabla</t>
        </is>
      </c>
      <c r="D12" s="7" t="inlineStr">
        <is>
          <t>Contextual</t>
        </is>
      </c>
      <c r="E12" s="7" t="inlineStr">
        <is>
          <t>Contextual</t>
        </is>
      </c>
      <c r="F12" s="7" t="inlineStr">
        <is>
          <t>Área Contextual…</t>
        </is>
      </c>
      <c r="G12" s="7" t="inlineStr">
        <is>
          <t>Mantener: ya dice «Área Contextual»</t>
        </is>
      </c>
      <c r="H12" s="9" t="inlineStr">
        <is>
          <t>No aplica</t>
        </is>
      </c>
      <c r="I12" s="10" t="n"/>
    </row>
    <row r="13">
      <c r="A13" s="8" t="inlineStr">
        <is>
          <t>2.7.1</t>
        </is>
      </c>
      <c r="B13" s="8" t="n">
        <v>27</v>
      </c>
      <c r="C13" s="8" t="inlineStr">
        <is>
          <t>Tabla</t>
        </is>
      </c>
      <c r="D13" s="7" t="inlineStr">
        <is>
          <t>Contextual</t>
        </is>
      </c>
      <c r="E13" s="7" t="inlineStr">
        <is>
          <t>Contextual</t>
        </is>
      </c>
      <c r="F13" s="7" t="inlineStr">
        <is>
          <t>Total Área Contextual…</t>
        </is>
      </c>
      <c r="G13" s="7" t="inlineStr">
        <is>
          <t>Mantener: ya dice «Área Contextual»</t>
        </is>
      </c>
      <c r="H13" s="9" t="inlineStr">
        <is>
          <t>No aplica</t>
        </is>
      </c>
      <c r="I13" s="10" t="n"/>
    </row>
    <row r="14">
      <c r="A14" s="8" t="inlineStr">
        <is>
          <t>2.7.1</t>
        </is>
      </c>
      <c r="B14" s="8" t="n">
        <v>27</v>
      </c>
      <c r="C14" s="8" t="inlineStr">
        <is>
          <t>Tabla</t>
        </is>
      </c>
      <c r="D14" s="7" t="inlineStr">
        <is>
          <t>Contextual</t>
        </is>
      </c>
      <c r="E14" s="7" t="inlineStr">
        <is>
          <t>Contextual</t>
        </is>
      </c>
      <c r="F14" s="7" t="inlineStr">
        <is>
          <t>Área Contextual…</t>
        </is>
      </c>
      <c r="G14" s="7" t="inlineStr">
        <is>
          <t>Mantener: ya dice «Área Contextual»</t>
        </is>
      </c>
      <c r="H14" s="9" t="inlineStr">
        <is>
          <t>No aplica</t>
        </is>
      </c>
      <c r="I14" s="10" t="n"/>
    </row>
    <row r="15">
      <c r="A15" s="8" t="inlineStr">
        <is>
          <t>2.7.1</t>
        </is>
      </c>
      <c r="B15" s="8" t="n">
        <v>27</v>
      </c>
      <c r="C15" s="8" t="inlineStr">
        <is>
          <t>Tabla</t>
        </is>
      </c>
      <c r="D15" s="7" t="inlineStr">
        <is>
          <t>Contextual</t>
        </is>
      </c>
      <c r="E15" s="7" t="inlineStr">
        <is>
          <t>Contextual</t>
        </is>
      </c>
      <c r="F15" s="7" t="inlineStr">
        <is>
          <t>Total Área Contextual…</t>
        </is>
      </c>
      <c r="G15" s="7" t="inlineStr">
        <is>
          <t>Mantener: ya dice «Área Contextual»</t>
        </is>
      </c>
      <c r="H15" s="9" t="inlineStr">
        <is>
          <t>No aplica</t>
        </is>
      </c>
      <c r="I15" s="10" t="n"/>
    </row>
    <row r="16">
      <c r="A16" s="8" t="inlineStr">
        <is>
          <t>2.7.1</t>
        </is>
      </c>
      <c r="B16" s="8" t="n">
        <v>27</v>
      </c>
      <c r="C16" s="8" t="inlineStr">
        <is>
          <t>Texto</t>
        </is>
      </c>
      <c r="D16" s="7" t="inlineStr">
        <is>
          <t>Contextual</t>
        </is>
      </c>
      <c r="E16" s="7" t="inlineStr">
        <is>
          <t>contextuales</t>
        </is>
      </c>
      <c r="F16" s="7" t="inlineStr">
        <is>
          <t>…pliar su cobertura a más asignaturas del área contable y de las áreas contextuales de Economía, Administración y Derecho. Las solicitudes de incremento …</t>
        </is>
      </c>
      <c r="G16" s="7" t="inlineStr">
        <is>
          <t>Área Contextual (o «del Área Contextual»)</t>
        </is>
      </c>
      <c r="H16" s="9" t="inlineStr">
        <is>
          <t>Corregido</t>
        </is>
      </c>
      <c r="I16" s="10" t="inlineStr">
        <is>
          <t>Aplicado en el Word revisado</t>
        </is>
      </c>
    </row>
    <row r="17">
      <c r="A17" s="8" t="inlineStr">
        <is>
          <t>3.1.1</t>
        </is>
      </c>
      <c r="B17" s="8" t="n">
        <v>31</v>
      </c>
      <c r="C17" s="8" t="inlineStr">
        <is>
          <t>Texto</t>
        </is>
      </c>
      <c r="D17" s="7" t="inlineStr">
        <is>
          <t>Troncal</t>
        </is>
      </c>
      <c r="E17" s="7" t="inlineStr">
        <is>
          <t>troncales</t>
        </is>
      </c>
      <c r="F17" s="7" t="inlineStr">
        <is>
          <t>…, 43 asignaturas y 6.000 horas académicas. De las asignaturas, 29 son troncales, el 67,44 %, en las áreas de Información Financiera y de Servicios de…</t>
        </is>
      </c>
      <c r="G17" s="7" t="inlineStr">
        <is>
          <t>Área Contable y de Auditoría (ajustar artículo y número: «asignaturas del Área Contable y de Auditoría»)</t>
        </is>
      </c>
      <c r="H17" s="9" t="inlineStr">
        <is>
          <t>Corregido</t>
        </is>
      </c>
      <c r="I17" s="10" t="inlineStr">
        <is>
          <t>Aplicado en el Word revisado</t>
        </is>
      </c>
    </row>
    <row r="18">
      <c r="A18" s="8" t="inlineStr">
        <is>
          <t>3.1.1</t>
        </is>
      </c>
      <c r="B18" s="8" t="n">
        <v>31</v>
      </c>
      <c r="C18" s="8" t="inlineStr">
        <is>
          <t>Texto</t>
        </is>
      </c>
      <c r="D18" s="7" t="inlineStr">
        <is>
          <t>Contextual</t>
        </is>
      </c>
      <c r="E18" s="7" t="inlineStr">
        <is>
          <t>contextuales</t>
        </is>
      </c>
      <c r="F18" s="7" t="inlineStr">
        <is>
          <t>…ión Financiera y de Servicios de Atestación y No Atestación, y 14 son contextuales, el 32,56 %, en las áreas de Administración, Derecho, Economía y Mate…</t>
        </is>
      </c>
      <c r="G18" s="7" t="inlineStr">
        <is>
          <t>Área Contextual (o «del Área Contextual»)</t>
        </is>
      </c>
      <c r="H18" s="9" t="inlineStr">
        <is>
          <t>Corregido</t>
        </is>
      </c>
      <c r="I18" s="10" t="inlineStr">
        <is>
          <t>Aplicado en el Word revisado</t>
        </is>
      </c>
    </row>
    <row r="19">
      <c r="A19" s="8" t="inlineStr">
        <is>
          <t>3.1.1</t>
        </is>
      </c>
      <c r="B19" s="8" t="n">
        <v>33</v>
      </c>
      <c r="C19" s="8" t="inlineStr">
        <is>
          <t>Tabla</t>
        </is>
      </c>
      <c r="D19" s="7" t="inlineStr">
        <is>
          <t>Troncal</t>
        </is>
      </c>
      <c r="E19" s="7" t="inlineStr">
        <is>
          <t>troncal</t>
        </is>
      </c>
      <c r="F19" s="7" t="inlineStr">
        <is>
          <t>Subtotal troncal…</t>
        </is>
      </c>
      <c r="G19" s="7" t="inlineStr">
        <is>
          <t>Área Contable y de Auditoría (ajustar artículo y número: «asignaturas del Área Contable y de Auditoría»)</t>
        </is>
      </c>
      <c r="H19" s="9" t="inlineStr">
        <is>
          <t>Corregido</t>
        </is>
      </c>
      <c r="I19" s="10" t="inlineStr">
        <is>
          <t>Aplicado en el Word revisado</t>
        </is>
      </c>
    </row>
    <row r="20">
      <c r="A20" s="8" t="inlineStr">
        <is>
          <t>3.1.1</t>
        </is>
      </c>
      <c r="B20" s="8" t="n">
        <v>33</v>
      </c>
      <c r="C20" s="8" t="inlineStr">
        <is>
          <t>Tabla</t>
        </is>
      </c>
      <c r="D20" s="7" t="inlineStr">
        <is>
          <t>Contextual</t>
        </is>
      </c>
      <c r="E20" s="7" t="inlineStr">
        <is>
          <t>contextual</t>
        </is>
      </c>
      <c r="F20" s="7" t="inlineStr">
        <is>
          <t>Subtotal contextual…</t>
        </is>
      </c>
      <c r="G20" s="7" t="inlineStr">
        <is>
          <t>Área Contextual (o «del Área Contextual»)</t>
        </is>
      </c>
      <c r="H20" s="9" t="inlineStr">
        <is>
          <t>Corregido</t>
        </is>
      </c>
      <c r="I20" s="10" t="inlineStr">
        <is>
          <t>Aplicado en el Word revisado</t>
        </is>
      </c>
    </row>
    <row r="21">
      <c r="A21" s="8" t="inlineStr">
        <is>
          <t>3.1.1</t>
        </is>
      </c>
      <c r="B21" s="8" t="n">
        <v>33</v>
      </c>
      <c r="C21" s="8" t="inlineStr">
        <is>
          <t>Texto</t>
        </is>
      </c>
      <c r="D21" s="7" t="inlineStr">
        <is>
          <t>Contextual</t>
        </is>
      </c>
      <c r="E21" s="7" t="inlineStr">
        <is>
          <t>contextuales</t>
        </is>
      </c>
      <c r="F21" s="7" t="inlineStr">
        <is>
          <t>La estructura muestra un rasgo que condiciona el rediseño: las áreas contextuales se concentran en los tres primeros años y desaparecen en cuarto y qui…</t>
        </is>
      </c>
      <c r="G21" s="7" t="inlineStr">
        <is>
          <t>Área Contextual (o «del Área Contextual»)</t>
        </is>
      </c>
      <c r="H21" s="9" t="inlineStr">
        <is>
          <t>Corregido</t>
        </is>
      </c>
      <c r="I21" s="10" t="inlineStr">
        <is>
          <t>Aplicado en el Word revisado</t>
        </is>
      </c>
    </row>
    <row r="22">
      <c r="A22" s="8" t="inlineStr">
        <is>
          <t>3.1.1</t>
        </is>
      </c>
      <c r="B22" s="8" t="n">
        <v>33</v>
      </c>
      <c r="C22" s="8" t="inlineStr">
        <is>
          <t>Texto</t>
        </is>
      </c>
      <c r="D22" s="7" t="inlineStr">
        <is>
          <t>Contextual</t>
        </is>
      </c>
      <c r="E22" s="7" t="inlineStr">
        <is>
          <t>contextuales</t>
        </is>
      </c>
      <c r="F22" s="7" t="inlineStr">
        <is>
          <t>…ebería aplicarlos. El rediseño debe articular verticalmente las áreas contextuales con los problemas contables, conforme al principio de interdisciplina…</t>
        </is>
      </c>
      <c r="G22" s="7" t="inlineStr">
        <is>
          <t>Área Contextual (o «del Área Contextual»)</t>
        </is>
      </c>
      <c r="H22" s="9" t="inlineStr">
        <is>
          <t>Corregido</t>
        </is>
      </c>
      <c r="I22" s="10" t="inlineStr">
        <is>
          <t>Aplicado en el Word revisado</t>
        </is>
      </c>
    </row>
    <row r="23">
      <c r="A23" s="8" t="inlineStr">
        <is>
          <t>3.5.2</t>
        </is>
      </c>
      <c r="B23" s="8" t="n">
        <v>47</v>
      </c>
      <c r="C23" s="8" t="inlineStr">
        <is>
          <t>Tabla</t>
        </is>
      </c>
      <c r="D23" s="7" t="inlineStr">
        <is>
          <t>Contador Público Autorizado</t>
        </is>
      </c>
      <c r="E23" s="7" t="inlineStr">
        <is>
          <t>Contador Público Autorizado</t>
        </is>
      </c>
      <c r="F23" s="7" t="inlineStr">
        <is>
          <t>Contador Público Autorizado…</t>
        </is>
      </c>
      <c r="G23" s="7" t="inlineStr">
        <is>
          <t>Mantener: se refiere al título en provisión nacional</t>
        </is>
      </c>
      <c r="H23" s="9" t="inlineStr">
        <is>
          <t>No aplica</t>
        </is>
      </c>
      <c r="I23" s="10" t="n"/>
    </row>
    <row r="24">
      <c r="A24" s="8" t="inlineStr">
        <is>
          <t>3.5.2</t>
        </is>
      </c>
      <c r="B24" s="8" t="n">
        <v>47</v>
      </c>
      <c r="C24" s="8" t="inlineStr">
        <is>
          <t>Tabla</t>
        </is>
      </c>
      <c r="D24" s="7" t="inlineStr">
        <is>
          <t>Contador Público Autorizado</t>
        </is>
      </c>
      <c r="E24" s="7" t="inlineStr">
        <is>
          <t>Contador Público Autorizado</t>
        </is>
      </c>
      <c r="F24" s="7" t="inlineStr">
        <is>
          <t>Contador Público Autorizado…</t>
        </is>
      </c>
      <c r="G24" s="7" t="inlineStr">
        <is>
          <t>Mantener: se refiere al título en provisión nacional</t>
        </is>
      </c>
      <c r="H24" s="9" t="inlineStr">
        <is>
          <t>No aplica</t>
        </is>
      </c>
      <c r="I24" s="10" t="n"/>
    </row>
    <row r="25">
      <c r="A25" s="8" t="inlineStr">
        <is>
          <t>3.5.2</t>
        </is>
      </c>
      <c r="B25" s="8" t="n">
        <v>47</v>
      </c>
      <c r="C25" s="8" t="inlineStr">
        <is>
          <t>Tabla</t>
        </is>
      </c>
      <c r="D25" s="7" t="inlineStr">
        <is>
          <t>Contador Público Autorizado</t>
        </is>
      </c>
      <c r="E25" s="7" t="inlineStr">
        <is>
          <t>Contador Público Autorizado</t>
        </is>
      </c>
      <c r="F25" s="7" t="inlineStr">
        <is>
          <t>Contador Público Autorizado…</t>
        </is>
      </c>
      <c r="G25" s="7" t="inlineStr">
        <is>
          <t>Mantener: se refiere al título en provisión nacional</t>
        </is>
      </c>
      <c r="H25" s="9" t="inlineStr">
        <is>
          <t>No aplica</t>
        </is>
      </c>
      <c r="I25" s="10" t="n"/>
    </row>
    <row r="26">
      <c r="A26" s="8" t="inlineStr">
        <is>
          <t>3.5.2</t>
        </is>
      </c>
      <c r="B26" s="8" t="n">
        <v>47</v>
      </c>
      <c r="C26" s="8" t="inlineStr">
        <is>
          <t>Tabla</t>
        </is>
      </c>
      <c r="D26" s="7" t="inlineStr">
        <is>
          <t>Contador Público Autorizado</t>
        </is>
      </c>
      <c r="E26" s="7" t="inlineStr">
        <is>
          <t>Contador Público Autorizado</t>
        </is>
      </c>
      <c r="F26" s="7" t="inlineStr">
        <is>
          <t>Contador Público Autorizado, desde la Resolución HCU N.º 438/2012…</t>
        </is>
      </c>
      <c r="G26" s="7" t="inlineStr">
        <is>
          <t>Mantener: se refiere al título en provisión nacional</t>
        </is>
      </c>
      <c r="H26" s="9" t="inlineStr">
        <is>
          <t>No aplica</t>
        </is>
      </c>
      <c r="I26" s="10" t="n"/>
    </row>
    <row r="27">
      <c r="A27" s="8" t="inlineStr">
        <is>
          <t>3.5.2</t>
        </is>
      </c>
      <c r="B27" s="8" t="n">
        <v>47</v>
      </c>
      <c r="C27" s="8" t="inlineStr">
        <is>
          <t>Texto</t>
        </is>
      </c>
      <c r="D27" s="7" t="inlineStr">
        <is>
          <t>Contador Público Autorizado</t>
        </is>
      </c>
      <c r="E27" s="7" t="inlineStr">
        <is>
          <t>Contador Público Autorizado</t>
        </is>
      </c>
      <c r="F27" s="7" t="inlineStr">
        <is>
          <t>Las cuatro universidades otorgan el título de Contador Público Autorizado. Sin embargo, el perfil de egreso del Plan 2013 de la UMSA conserva l…</t>
        </is>
      </c>
      <c r="G27" s="7" t="inlineStr">
        <is>
          <t>Mantener: se refiere al título en provisión nacional</t>
        </is>
      </c>
      <c r="H27" s="9" t="inlineStr">
        <is>
          <t>No aplica</t>
        </is>
      </c>
      <c r="I27" s="10" t="n"/>
    </row>
    <row r="28">
      <c r="A28" s="8" t="inlineStr">
        <is>
          <t>4.1.1</t>
        </is>
      </c>
      <c r="B28" s="8" t="n">
        <v>55</v>
      </c>
      <c r="C28" s="8" t="inlineStr">
        <is>
          <t>Texto</t>
        </is>
      </c>
      <c r="D28" s="7" t="inlineStr">
        <is>
          <t>Contador Público Autorizado</t>
        </is>
      </c>
      <c r="E28" s="7" t="inlineStr">
        <is>
          <t>Contador Público Autorizado</t>
        </is>
      </c>
      <c r="F28" s="7" t="inlineStr">
        <is>
          <t>…nes y los seres humanos son unidades complejas multidimensionales. El Contador Público Autorizado debe reconocer que la información contable no es únicamente cuantitat…</t>
        </is>
      </c>
      <c r="G28" s="7" t="inlineStr">
        <is>
          <t>Contador Público</t>
        </is>
      </c>
      <c r="H28" s="9" t="inlineStr">
        <is>
          <t>Corregido</t>
        </is>
      </c>
      <c r="I28" s="10" t="inlineStr">
        <is>
          <t>Aplicado en el Word revisado</t>
        </is>
      </c>
    </row>
    <row r="29">
      <c r="A29" s="8" t="inlineStr">
        <is>
          <t>4.1.1</t>
        </is>
      </c>
      <c r="B29" s="8" t="n">
        <v>55</v>
      </c>
      <c r="C29" s="8" t="inlineStr">
        <is>
          <t>Texto</t>
        </is>
      </c>
      <c r="D29" s="7" t="inlineStr">
        <is>
          <t>Contador Público Autorizado</t>
        </is>
      </c>
      <c r="E29" s="7" t="inlineStr">
        <is>
          <t>Contador Público Autorizado</t>
        </is>
      </c>
      <c r="F29" s="7" t="inlineStr">
        <is>
          <t>… la incertidumbre y constante evolución del mundo de los negocios, el Contador Público Autorizado aplica su juicio crítico para unir la unidad con la multiplicidad en …</t>
        </is>
      </c>
      <c r="G29" s="7" t="inlineStr">
        <is>
          <t>Contador Público</t>
        </is>
      </c>
      <c r="H29" s="9" t="inlineStr">
        <is>
          <t>Corregido</t>
        </is>
      </c>
      <c r="I29" s="10" t="inlineStr">
        <is>
          <t>Aplicado en el Word revisado</t>
        </is>
      </c>
    </row>
    <row r="30">
      <c r="A30" s="8" t="inlineStr">
        <is>
          <t>4.2.6</t>
        </is>
      </c>
      <c r="B30" s="8" t="n">
        <v>70</v>
      </c>
      <c r="C30" s="8" t="inlineStr">
        <is>
          <t>Texto</t>
        </is>
      </c>
      <c r="D30" s="7" t="inlineStr">
        <is>
          <t>Contador Público Autorizado</t>
        </is>
      </c>
      <c r="E30" s="7" t="inlineStr">
        <is>
          <t>Contador Público Autorizado</t>
        </is>
      </c>
      <c r="F30" s="7" t="inlineStr">
        <is>
          <t>Cuadro 3. Matriz resumen de las competencias del Contador Público Autorizado…</t>
        </is>
      </c>
      <c r="G30" s="7" t="inlineStr">
        <is>
          <t>Contador Público</t>
        </is>
      </c>
      <c r="H30" s="9" t="inlineStr">
        <is>
          <t>Corregido</t>
        </is>
      </c>
      <c r="I30" s="10" t="inlineStr">
        <is>
          <t>Aplicado en el Word revisado</t>
        </is>
      </c>
    </row>
    <row r="31">
      <c r="A31" s="8" t="inlineStr">
        <is>
          <t>4.3.3</t>
        </is>
      </c>
      <c r="B31" s="8" t="n">
        <v>78</v>
      </c>
      <c r="C31" s="8" t="inlineStr">
        <is>
          <t>Texto</t>
        </is>
      </c>
      <c r="D31" s="7" t="inlineStr">
        <is>
          <t>Contador Público Autorizado</t>
        </is>
      </c>
      <c r="E31" s="7" t="inlineStr">
        <is>
          <t>Contador Público Autorizado</t>
        </is>
      </c>
      <c r="F31" s="7" t="inlineStr">
        <is>
          <t>…cenciatura en Contaduría Pública y al título en provisión nacional de Contador Público Autorizado, en modalidad presencial y régimen anual, con una duración de cinco a…</t>
        </is>
      </c>
      <c r="G31" s="7" t="inlineStr">
        <is>
          <t>Mantener: se refiere al título en provisión nacional</t>
        </is>
      </c>
      <c r="H31" s="9" t="inlineStr">
        <is>
          <t>No aplica</t>
        </is>
      </c>
      <c r="I31" s="10" t="n"/>
    </row>
    <row r="32">
      <c r="A32" s="8" t="inlineStr">
        <is>
          <t>4.4.1</t>
        </is>
      </c>
      <c r="B32" s="8" t="n">
        <v>82</v>
      </c>
      <c r="C32" s="8" t="inlineStr">
        <is>
          <t>Texto</t>
        </is>
      </c>
      <c r="D32" s="7" t="inlineStr">
        <is>
          <t>Contextual</t>
        </is>
      </c>
      <c r="E32" s="7" t="inlineStr">
        <is>
          <t>contextual</t>
        </is>
      </c>
      <c r="F32" s="7" t="inlineStr">
        <is>
          <t>…table y de auditoría, que forman el núcleo de la profesión, y el área contextual, que aportan el sustento multidisciplinario.…</t>
        </is>
      </c>
      <c r="G32" s="7" t="inlineStr">
        <is>
          <t>Área Contextual (o «del Área Contextual»)</t>
        </is>
      </c>
      <c r="H32" s="9" t="inlineStr">
        <is>
          <t>Corregido</t>
        </is>
      </c>
      <c r="I32" s="10" t="inlineStr">
        <is>
          <t>Aplicado en el Word revisado</t>
        </is>
      </c>
    </row>
    <row r="33">
      <c r="A33" s="8" t="inlineStr">
        <is>
          <t>4.4.1</t>
        </is>
      </c>
      <c r="B33" s="8" t="n">
        <v>82</v>
      </c>
      <c r="C33" s="8" t="inlineStr">
        <is>
          <t>Tabla</t>
        </is>
      </c>
      <c r="D33" s="7" t="inlineStr">
        <is>
          <t>Contextual</t>
        </is>
      </c>
      <c r="E33" s="7" t="inlineStr">
        <is>
          <t>Contextual</t>
        </is>
      </c>
      <c r="F33" s="7" t="inlineStr">
        <is>
          <t>Área Contextual…</t>
        </is>
      </c>
      <c r="G33" s="7" t="inlineStr">
        <is>
          <t>Mantener: ya dice «Área Contextual»</t>
        </is>
      </c>
      <c r="H33" s="9" t="inlineStr">
        <is>
          <t>No aplica</t>
        </is>
      </c>
      <c r="I33" s="10" t="n"/>
    </row>
    <row r="34">
      <c r="A34" s="8" t="inlineStr">
        <is>
          <t>4.4.1</t>
        </is>
      </c>
      <c r="B34" s="8" t="n">
        <v>82</v>
      </c>
      <c r="C34" s="8" t="inlineStr">
        <is>
          <t>Texto</t>
        </is>
      </c>
      <c r="D34" s="7" t="inlineStr">
        <is>
          <t>Contextual</t>
        </is>
      </c>
      <c r="E34" s="7" t="inlineStr">
        <is>
          <t>contextual</t>
        </is>
      </c>
      <c r="F34" s="7" t="inlineStr">
        <is>
          <t>Área contextual:…</t>
        </is>
      </c>
      <c r="G34" s="7" t="inlineStr">
        <is>
          <t>Área Contextual (o «del Área Contextual»)</t>
        </is>
      </c>
      <c r="H34" s="9" t="inlineStr">
        <is>
          <t>Corregido</t>
        </is>
      </c>
      <c r="I34" s="10" t="inlineStr">
        <is>
          <t>Aplicado en el Word revisado</t>
        </is>
      </c>
    </row>
    <row r="35">
      <c r="A35" s="8" t="inlineStr">
        <is>
          <t>5.4.1</t>
        </is>
      </c>
      <c r="B35" s="8" t="n">
        <v>106</v>
      </c>
      <c r="C35" s="8" t="inlineStr">
        <is>
          <t>Tabla</t>
        </is>
      </c>
      <c r="D35" s="7" t="inlineStr">
        <is>
          <t>Contador Público Autorizado</t>
        </is>
      </c>
      <c r="E35" s="7" t="inlineStr">
        <is>
          <t>Contador Público Autorizado</t>
        </is>
      </c>
      <c r="F35" s="7" t="inlineStr">
        <is>
          <t>Contador Público Autorizado…</t>
        </is>
      </c>
      <c r="G35" s="7" t="inlineStr">
        <is>
          <t>Mantener: se refiere al título en provisión nacional</t>
        </is>
      </c>
      <c r="H35" s="9" t="inlineStr">
        <is>
          <t>No aplica</t>
        </is>
      </c>
      <c r="I35" s="10" t="n"/>
    </row>
    <row r="36">
      <c r="A36" s="8" t="inlineStr">
        <is>
          <t>9.1.1</t>
        </is>
      </c>
      <c r="B36" s="8" t="n">
        <v>127</v>
      </c>
      <c r="C36" s="8" t="inlineStr">
        <is>
          <t>Texto</t>
        </is>
      </c>
      <c r="D36" s="7" t="inlineStr">
        <is>
          <t>Plan 2027/2024</t>
        </is>
      </c>
      <c r="E36" s="7" t="inlineStr">
        <is>
          <t>Plan 2024</t>
        </is>
      </c>
      <c r="F36" s="7" t="inlineStr">
        <is>
          <t>…erios distintos de clasificación de las modalidades de graduación. El Plan 2024 consignaba 5.702 libros y 3.046 trabajos académicos, lo que muestra u…</t>
        </is>
      </c>
      <c r="G36" s="7" t="inlineStr">
        <is>
          <t>Mantener: alude al Plan de Estudios 2024 abrogado (Res. HCU N.º 016/2025), no al rediseño</t>
        </is>
      </c>
      <c r="H36" s="9" t="inlineStr">
        <is>
          <t>No aplica</t>
        </is>
      </c>
      <c r="I36" s="10" t="n"/>
    </row>
    <row r="37">
      <c r="A37" s="8" t="inlineStr">
        <is>
          <t>9.1.1</t>
        </is>
      </c>
      <c r="B37" s="8" t="n">
        <v>127</v>
      </c>
      <c r="C37" s="8" t="inlineStr">
        <is>
          <t>Texto</t>
        </is>
      </c>
      <c r="D37" s="7" t="inlineStr">
        <is>
          <t>Plan 2027/2024</t>
        </is>
      </c>
      <c r="E37" s="7" t="inlineStr">
        <is>
          <t>Plan 2024</t>
        </is>
      </c>
      <c r="F37" s="7" t="inlineStr">
        <is>
          <t>… institucional de la UMSA, que ofrece documentos a texto completo; el Plan 2024 registró 2.806 documentos digitales de la Carrera en ese repositorio.…</t>
        </is>
      </c>
      <c r="G37" s="7" t="inlineStr">
        <is>
          <t>Mantener: alude al Plan de Estudios 2024 abrogado (Res. HCU N.º 016/2025), no al rediseño</t>
        </is>
      </c>
      <c r="H37" s="9" t="inlineStr">
        <is>
          <t>No aplica</t>
        </is>
      </c>
      <c r="I37" s="10" t="n"/>
    </row>
    <row r="38">
      <c r="A38" s="8" t="inlineStr">
        <is>
          <t>11.2.1</t>
        </is>
      </c>
      <c r="B38" s="8" t="n">
        <v>148</v>
      </c>
      <c r="C38" s="8" t="inlineStr">
        <is>
          <t>Texto</t>
        </is>
      </c>
      <c r="D38" s="7" t="inlineStr">
        <is>
          <t>Contador Público Autorizado</t>
        </is>
      </c>
      <c r="E38" s="7" t="inlineStr">
        <is>
          <t>Contador Público Autorizado</t>
        </is>
      </c>
      <c r="F38" s="7" t="inlineStr">
        <is>
          <t>…egundo, el área de Servicios de Aseguramiento, núcleo profesional del Contador Público Autorizado, tiene solo 12 titulares de 45 designaciones. Tercero, solo dos carga…</t>
        </is>
      </c>
      <c r="G38" s="7" t="inlineStr">
        <is>
          <t>Contador Público</t>
        </is>
      </c>
      <c r="H38" s="9" t="inlineStr">
        <is>
          <t>Corregido</t>
        </is>
      </c>
      <c r="I38" s="10" t="inlineStr">
        <is>
          <t>Aplicado en el Word revisado</t>
        </is>
      </c>
    </row>
    <row r="39">
      <c r="A39" s="8" t="inlineStr">
        <is>
          <t>11.2.1</t>
        </is>
      </c>
      <c r="B39" s="8" t="n">
        <v>148</v>
      </c>
      <c r="C39" s="8" t="inlineStr">
        <is>
          <t>Texto</t>
        </is>
      </c>
      <c r="D39" s="7" t="inlineStr">
        <is>
          <t>Troncal</t>
        </is>
      </c>
      <c r="E39" s="7" t="inlineStr">
        <is>
          <t>troncales</t>
        </is>
      </c>
      <c r="F39" s="7" t="inlineStr">
        <is>
          <t>…con 79 ítems de auxiliares de docencia, que priorizan las asignaturas troncales. El Instituto de Investigaciones dispone de 320 horas mensuales y su …</t>
        </is>
      </c>
      <c r="G39" s="7" t="inlineStr">
        <is>
          <t>Área Contable y de Auditoría (ajustar artículo y número: «asignaturas del Área Contable y de Auditoría»)</t>
        </is>
      </c>
      <c r="H39" s="9" t="inlineStr">
        <is>
          <t>Corregido</t>
        </is>
      </c>
      <c r="I39" s="10" t="inlineStr">
        <is>
          <t>Aplicado en el Word revisado</t>
        </is>
      </c>
    </row>
    <row r="40">
      <c r="A40" s="8" t="inlineStr">
        <is>
          <t>11.2.2</t>
        </is>
      </c>
      <c r="B40" s="8" t="n">
        <v>149</v>
      </c>
      <c r="C40" s="8" t="inlineStr">
        <is>
          <t>Texto</t>
        </is>
      </c>
      <c r="D40" s="7" t="inlineStr">
        <is>
          <t>Contador Público Autorizado</t>
        </is>
      </c>
      <c r="E40" s="7" t="inlineStr">
        <is>
          <t>Contador Público Autorizado</t>
        </is>
      </c>
      <c r="F40" s="7" t="inlineStr">
        <is>
          <t>…en Contaduría Pública / Auditoría con Título en Provisión Nacional de Contador Público Autorizado / Auditor Financiero. …</t>
        </is>
      </c>
      <c r="G40" s="7" t="inlineStr">
        <is>
          <t>Mantener: se refiere al título en provisión nacional</t>
        </is>
      </c>
      <c r="H40" s="9" t="inlineStr">
        <is>
          <t>No aplica</t>
        </is>
      </c>
      <c r="I40" s="10" t="n"/>
    </row>
    <row r="41">
      <c r="A41" s="8" t="inlineStr">
        <is>
          <t>11.2.2</t>
        </is>
      </c>
      <c r="B41" s="8" t="n">
        <v>149</v>
      </c>
      <c r="C41" s="8" t="inlineStr">
        <is>
          <t>Texto</t>
        </is>
      </c>
      <c r="D41" s="7" t="inlineStr">
        <is>
          <t>Contador Público Autorizado</t>
        </is>
      </c>
      <c r="E41" s="7" t="inlineStr">
        <is>
          <t>Contador Público Autorizado</t>
        </is>
      </c>
      <c r="F41" s="7" t="inlineStr">
        <is>
          <t>…en Contaduría Pública / Auditoría con Título en Provisión Nacional de Contador Público Autorizado / Auditor Financiero con Posgrado en el área de Informática / TIC; o …</t>
        </is>
      </c>
      <c r="G41" s="7" t="inlineStr">
        <is>
          <t>Mantener: se refiere al título en provisión nacional</t>
        </is>
      </c>
      <c r="H41" s="9" t="inlineStr">
        <is>
          <t>No aplica</t>
        </is>
      </c>
      <c r="I41" s="10" t="n"/>
    </row>
    <row r="42">
      <c r="A42" s="8" t="inlineStr">
        <is>
          <t>11.2.2</t>
        </is>
      </c>
      <c r="B42" s="8" t="n">
        <v>150</v>
      </c>
      <c r="C42" s="8" t="inlineStr">
        <is>
          <t>Texto</t>
        </is>
      </c>
      <c r="D42" s="7" t="inlineStr">
        <is>
          <t>Contador Público Autorizado</t>
        </is>
      </c>
      <c r="E42" s="7" t="inlineStr">
        <is>
          <t>Contador Público Autorizado</t>
        </is>
      </c>
      <c r="F42" s="7" t="inlineStr">
        <is>
          <t>…en Contaduría Pública / Auditoría con Título en Provisión Nacional de Contador Público Autorizado / Auditor Financiero con Posgrado en el área de Investigación; o Lice…</t>
        </is>
      </c>
      <c r="G42" s="7" t="inlineStr">
        <is>
          <t>Mantener: se refiere al título en provisión nacional</t>
        </is>
      </c>
      <c r="H42" s="9" t="inlineStr">
        <is>
          <t>No aplica</t>
        </is>
      </c>
      <c r="I42" s="10" t="n"/>
    </row>
    <row r="43">
      <c r="A43" s="8" t="inlineStr">
        <is>
          <t>11.2.2</t>
        </is>
      </c>
      <c r="B43" s="8" t="n">
        <v>150</v>
      </c>
      <c r="C43" s="8" t="inlineStr">
        <is>
          <t>Texto</t>
        </is>
      </c>
      <c r="D43" s="7" t="inlineStr">
        <is>
          <t>Contador Público Autorizado</t>
        </is>
      </c>
      <c r="E43" s="7" t="inlineStr">
        <is>
          <t>Contador Público Autorizado</t>
        </is>
      </c>
      <c r="F43" s="7" t="inlineStr">
        <is>
          <t>…en Contaduría Pública / Auditoría con Título en Provisión Nacional de Contador Público Autorizado / Auditor Financiero.…</t>
        </is>
      </c>
      <c r="G43" s="7" t="inlineStr">
        <is>
          <t>Mantener: se refiere al título en provisión nacional</t>
        </is>
      </c>
      <c r="H43" s="9" t="inlineStr">
        <is>
          <t>No aplica</t>
        </is>
      </c>
      <c r="I43" s="10" t="n"/>
    </row>
    <row r="44">
      <c r="A44" s="8" t="inlineStr">
        <is>
          <t>11.2.2</t>
        </is>
      </c>
      <c r="B44" s="8" t="n">
        <v>150</v>
      </c>
      <c r="C44" s="8" t="inlineStr">
        <is>
          <t>Texto</t>
        </is>
      </c>
      <c r="D44" s="7" t="inlineStr">
        <is>
          <t>Contador Público Autorizado</t>
        </is>
      </c>
      <c r="E44" s="7" t="inlineStr">
        <is>
          <t>Contador Público Autorizado</t>
        </is>
      </c>
      <c r="F44" s="7" t="inlineStr">
        <is>
          <t>…en Contaduría Pública / Auditoría con Título en Provisión Nacional de Contador Público Autorizado / Auditor Financiero con Posgrado en Auditoría de Sistemas / Ciberseg…</t>
        </is>
      </c>
      <c r="G44" s="7" t="inlineStr">
        <is>
          <t>Mantener: se refiere al título en provisión nacional</t>
        </is>
      </c>
      <c r="H44" s="9" t="inlineStr">
        <is>
          <t>No aplica</t>
        </is>
      </c>
      <c r="I44" s="10" t="n"/>
    </row>
    <row r="45">
      <c r="A45" s="8" t="inlineStr">
        <is>
          <t>11.2.2</t>
        </is>
      </c>
      <c r="B45" s="8" t="n">
        <v>150</v>
      </c>
      <c r="C45" s="8" t="inlineStr">
        <is>
          <t>Texto</t>
        </is>
      </c>
      <c r="D45" s="7" t="inlineStr">
        <is>
          <t>Contador Público Autorizado</t>
        </is>
      </c>
      <c r="E45" s="7" t="inlineStr">
        <is>
          <t>Contador Público Autorizado</t>
        </is>
      </c>
      <c r="F45" s="7" t="inlineStr">
        <is>
          <t>…en Contaduría Pública / Auditoría con Título en Provisión Nacional de Contador Público Autorizado / Auditor Financiero con Posgrado en Sostenibilidad, ESG, NIEA 3000 o…</t>
        </is>
      </c>
      <c r="G45" s="7" t="inlineStr">
        <is>
          <t>Mantener: se refiere al título en provisión nacional</t>
        </is>
      </c>
      <c r="H45" s="9" t="inlineStr">
        <is>
          <t>No aplica</t>
        </is>
      </c>
      <c r="I45" s="10" t="n"/>
    </row>
    <row r="46">
      <c r="A46" s="8" t="inlineStr">
        <is>
          <t>11.2.2</t>
        </is>
      </c>
      <c r="B46" s="8" t="n">
        <v>150</v>
      </c>
      <c r="C46" s="8" t="inlineStr">
        <is>
          <t>Texto</t>
        </is>
      </c>
      <c r="D46" s="7" t="inlineStr">
        <is>
          <t>Contador Público Autorizado</t>
        </is>
      </c>
      <c r="E46" s="7" t="inlineStr">
        <is>
          <t>Contador Público Autorizado</t>
        </is>
      </c>
      <c r="F46" s="7" t="inlineStr">
        <is>
          <t>…en Contaduría Pública / Auditoría con Título en Provisión Nacional de Contador Público Autorizado / Auditor Financiero con Posgrado en Auditoría Forense, Peritaje o De…</t>
        </is>
      </c>
      <c r="G46" s="7" t="inlineStr">
        <is>
          <t>Mantener: se refiere al título en provisión nacional</t>
        </is>
      </c>
      <c r="H46" s="9" t="inlineStr">
        <is>
          <t>No aplica</t>
        </is>
      </c>
      <c r="I46" s="10" t="n"/>
    </row>
    <row r="47">
      <c r="A47" s="8" t="inlineStr">
        <is>
          <t>11.2.2</t>
        </is>
      </c>
      <c r="B47" s="8" t="n">
        <v>150</v>
      </c>
      <c r="C47" s="8" t="inlineStr">
        <is>
          <t>Texto</t>
        </is>
      </c>
      <c r="D47" s="7" t="inlineStr">
        <is>
          <t>Contador Público Autorizado</t>
        </is>
      </c>
      <c r="E47" s="7" t="inlineStr">
        <is>
          <t>Contador Público Autorizado</t>
        </is>
      </c>
      <c r="F47" s="7" t="inlineStr">
        <is>
          <t>…en Contaduría Pública / Auditoría con Título en Provisión Nacional de Contador Público Autorizado / Auditor Financiero con Posgrado en el área de investigación Científ…</t>
        </is>
      </c>
      <c r="G47" s="7" t="inlineStr">
        <is>
          <t>Mantener: se refiere al título en provisión nacional</t>
        </is>
      </c>
      <c r="H47" s="9" t="inlineStr">
        <is>
          <t>No aplica</t>
        </is>
      </c>
      <c r="I47" s="10" t="n"/>
    </row>
    <row r="48">
      <c r="A48" s="8" t="inlineStr">
        <is>
          <t>11.2.2</t>
        </is>
      </c>
      <c r="B48" s="8" t="n">
        <v>150</v>
      </c>
      <c r="C48" s="8" t="inlineStr">
        <is>
          <t>Texto</t>
        </is>
      </c>
      <c r="D48" s="7" t="inlineStr">
        <is>
          <t>Contador Público Autorizado</t>
        </is>
      </c>
      <c r="E48" s="7" t="inlineStr">
        <is>
          <t>Contador Público Autorizado</t>
        </is>
      </c>
      <c r="F48" s="7" t="inlineStr">
        <is>
          <t>…en Contaduría Pública / Auditoría con Título en Provisión Nacional de Contador Público Autorizado / Auditor Financiero.…</t>
        </is>
      </c>
      <c r="G48" s="7" t="inlineStr">
        <is>
          <t>Mantener: se refiere al título en provisión nacional</t>
        </is>
      </c>
      <c r="H48" s="9" t="inlineStr">
        <is>
          <t>No aplica</t>
        </is>
      </c>
      <c r="I48" s="10" t="n"/>
    </row>
    <row r="49">
      <c r="A49" s="8" t="inlineStr">
        <is>
          <t>11.2.2</t>
        </is>
      </c>
      <c r="B49" s="8" t="n">
        <v>150</v>
      </c>
      <c r="C49" s="8" t="inlineStr">
        <is>
          <t>Texto</t>
        </is>
      </c>
      <c r="D49" s="7" t="inlineStr">
        <is>
          <t>Contador Público Autorizado</t>
        </is>
      </c>
      <c r="E49" s="7" t="inlineStr">
        <is>
          <t>Contador Público Autorizado</t>
        </is>
      </c>
      <c r="F49" s="7" t="inlineStr">
        <is>
          <t>…en Contaduría Pública / Auditoría con Título en Provisión Nacional de Contador Público Autorizado / Auditor Financiero.…</t>
        </is>
      </c>
      <c r="G49" s="7" t="inlineStr">
        <is>
          <t>Mantener: se refiere al título en provisión nacional</t>
        </is>
      </c>
      <c r="H49" s="9" t="inlineStr">
        <is>
          <t>No aplica</t>
        </is>
      </c>
      <c r="I49" s="10" t="n"/>
    </row>
    <row r="50">
      <c r="A50" s="8" t="inlineStr">
        <is>
          <t>11.2.2</t>
        </is>
      </c>
      <c r="B50" s="8" t="n">
        <v>151</v>
      </c>
      <c r="C50" s="8" t="inlineStr">
        <is>
          <t>Texto</t>
        </is>
      </c>
      <c r="D50" s="7" t="inlineStr">
        <is>
          <t>Contador Público Autorizado</t>
        </is>
      </c>
      <c r="E50" s="7" t="inlineStr">
        <is>
          <t>Contador Público Autorizado</t>
        </is>
      </c>
      <c r="F50" s="7" t="inlineStr">
        <is>
          <t>…en Contaduría Pública / Auditoría con Título en Provisión Nacional de Contador Público Autorizado / Auditor Financiero o Licenciatura en Economía con Título en Provisi…</t>
        </is>
      </c>
      <c r="G50" s="7" t="inlineStr">
        <is>
          <t>Mantener: se refiere al título en provisión nacional</t>
        </is>
      </c>
      <c r="H50" s="9" t="inlineStr">
        <is>
          <t>No aplica</t>
        </is>
      </c>
      <c r="I50" s="10" t="n"/>
    </row>
    <row r="51">
      <c r="A51" s="8" t="inlineStr">
        <is>
          <t>11.3.1</t>
        </is>
      </c>
      <c r="B51" s="8" t="n">
        <v>152</v>
      </c>
      <c r="C51" s="8" t="inlineStr">
        <is>
          <t>Texto</t>
        </is>
      </c>
      <c r="D51" s="7" t="inlineStr">
        <is>
          <t>Plan 2027/2024</t>
        </is>
      </c>
      <c r="E51" s="7" t="inlineStr">
        <is>
          <t>Plan 2027</t>
        </is>
      </c>
      <c r="F51" s="7" t="inlineStr">
        <is>
          <t>… evaluar la capacidad financiera que respaldará la implementación del Plan 2027, se analizó la ejecución presupuestaria de gastos de la Carrera desde…</t>
        </is>
      </c>
      <c r="G51" s="7" t="inlineStr">
        <is>
          <t>Rediseño Curricular (ajustar artículo: «el Rediseño Curricular», «del Rediseño Curricular»)</t>
        </is>
      </c>
      <c r="H51" s="9" t="inlineStr">
        <is>
          <t>Corregido</t>
        </is>
      </c>
      <c r="I51" s="10" t="inlineStr">
        <is>
          <t>Aplicado en el Word revisado</t>
        </is>
      </c>
    </row>
    <row r="52">
      <c r="A52" s="8" t="inlineStr">
        <is>
          <t>11.3.2</t>
        </is>
      </c>
      <c r="B52" s="8" t="n">
        <v>153</v>
      </c>
      <c r="C52" s="8" t="inlineStr">
        <is>
          <t>Texto</t>
        </is>
      </c>
      <c r="D52" s="7" t="inlineStr">
        <is>
          <t>Plan 2027/2024</t>
        </is>
      </c>
      <c r="E52" s="7" t="inlineStr">
        <is>
          <t>Plan 2027</t>
        </is>
      </c>
      <c r="F52" s="7" t="inlineStr">
        <is>
          <t>…upuesto inercial y una ejecución baja. La política presupuestaria del Plan 2027 se rige por los siguientes lineamientos:…</t>
        </is>
      </c>
      <c r="G52" s="7" t="inlineStr">
        <is>
          <t>Rediseño Curricular (ajustar artículo: «el Rediseño Curricular», «del Rediseño Curricular»)</t>
        </is>
      </c>
      <c r="H52" s="9" t="inlineStr">
        <is>
          <t>Corregido</t>
        </is>
      </c>
      <c r="I52" s="10" t="inlineStr">
        <is>
          <t>Aplicado en el Word revisado</t>
        </is>
      </c>
    </row>
    <row r="53">
      <c r="A53" s="8" t="inlineStr">
        <is>
          <t>13</t>
        </is>
      </c>
      <c r="B53" s="8" t="n">
        <v>163</v>
      </c>
      <c r="C53" s="8" t="inlineStr">
        <is>
          <t>Texto</t>
        </is>
      </c>
      <c r="D53" s="7" t="inlineStr">
        <is>
          <t>Plan 2027/2024</t>
        </is>
      </c>
      <c r="E53" s="7" t="inlineStr">
        <is>
          <t>Plan de Estudios 2027</t>
        </is>
      </c>
      <c r="F53" s="7" t="inlineStr">
        <is>
          <t>Este punto identifica la normativa universitaria que rige el Plan de Estudios 2027, establece los reglamentos internos que la Carrera debe mantener, act…</t>
        </is>
      </c>
      <c r="G53" s="7" t="inlineStr">
        <is>
          <t>Rediseño Curricular (ajustar artículo: «el Rediseño Curricular», «del Rediseño Curricular»)</t>
        </is>
      </c>
      <c r="H53" s="9" t="inlineStr">
        <is>
          <t>Corregido</t>
        </is>
      </c>
      <c r="I53" s="10" t="inlineStr">
        <is>
          <t>Aplicado en el Word revisado</t>
        </is>
      </c>
    </row>
    <row r="54">
      <c r="A54" s="8" t="inlineStr">
        <is>
          <t>13.1.1</t>
        </is>
      </c>
      <c r="B54" s="8" t="n">
        <v>163</v>
      </c>
      <c r="C54" s="8" t="inlineStr">
        <is>
          <t>Texto</t>
        </is>
      </c>
      <c r="D54" s="7" t="inlineStr">
        <is>
          <t>Plan 2027/2024</t>
        </is>
      </c>
      <c r="E54" s="7" t="inlineStr">
        <is>
          <t>Plan 2027</t>
        </is>
      </c>
      <c r="F54" s="7" t="inlineStr">
        <is>
          <t>Cuadro 1. Normativa universitaria aplicable al Plan 2027…</t>
        </is>
      </c>
      <c r="G54" s="7" t="inlineStr">
        <is>
          <t>Rediseño Curricular (ajustar artículo: «el Rediseño Curricular», «del Rediseño Curricular»)</t>
        </is>
      </c>
      <c r="H54" s="9" t="inlineStr">
        <is>
          <t>Corregido</t>
        </is>
      </c>
      <c r="I54" s="10" t="inlineStr">
        <is>
          <t>Aplicado en el Word revisado</t>
        </is>
      </c>
    </row>
    <row r="55">
      <c r="A55" s="8" t="inlineStr">
        <is>
          <t>13.1.1</t>
        </is>
      </c>
      <c r="B55" s="8" t="n">
        <v>164</v>
      </c>
      <c r="C55" s="8" t="inlineStr">
        <is>
          <t>Texto</t>
        </is>
      </c>
      <c r="D55" s="7" t="inlineStr">
        <is>
          <t>Plan 2027/2024</t>
        </is>
      </c>
      <c r="E55" s="7" t="inlineStr">
        <is>
          <t>Plan de Estudios 2024</t>
        </is>
      </c>
      <c r="F55" s="7" t="inlineStr">
        <is>
          <t>Fuente: elaboración con base en la normativa citada en el Plan de Estudios 2024, el Diagnóstico 2026, los puntos 5 a 12 y las Resoluciones HCU N.º 13…</t>
        </is>
      </c>
      <c r="G55" s="7" t="inlineStr">
        <is>
          <t>Mantener: alude al Plan de Estudios 2024 abrogado (Res. HCU N.º 016/2025), no al rediseño</t>
        </is>
      </c>
      <c r="H55" s="9" t="inlineStr">
        <is>
          <t>No aplica</t>
        </is>
      </c>
      <c r="I55" s="10" t="n"/>
    </row>
    <row r="56">
      <c r="A56" s="8" t="inlineStr">
        <is>
          <t>13.1.2</t>
        </is>
      </c>
      <c r="B56" s="8" t="n">
        <v>164</v>
      </c>
      <c r="C56" s="8" t="inlineStr">
        <is>
          <t>Texto</t>
        </is>
      </c>
      <c r="D56" s="7" t="inlineStr">
        <is>
          <t>Plan 2027/2024</t>
        </is>
      </c>
      <c r="E56" s="7" t="inlineStr">
        <is>
          <t>Plan 2027</t>
        </is>
      </c>
      <c r="F56" s="7" t="inlineStr">
        <is>
          <t>La implementación del Plan 2027 requiere actualizar los reglamentos internos vigentes y elaborar los …</t>
        </is>
      </c>
      <c r="G56" s="7" t="inlineStr">
        <is>
          <t>Rediseño Curricular (ajustar artículo: «el Rediseño Curricular», «del Rediseño Curricular»)</t>
        </is>
      </c>
      <c r="H56" s="9" t="inlineStr">
        <is>
          <t>Corregido</t>
        </is>
      </c>
      <c r="I56" s="10" t="inlineStr">
        <is>
          <t>Aplicado en el Word revisado</t>
        </is>
      </c>
    </row>
    <row r="57">
      <c r="A57" s="8" t="inlineStr">
        <is>
          <t>13.1.2</t>
        </is>
      </c>
      <c r="B57" s="8" t="n">
        <v>164</v>
      </c>
      <c r="C57" s="8" t="inlineStr">
        <is>
          <t>Texto</t>
        </is>
      </c>
      <c r="D57" s="7" t="inlineStr">
        <is>
          <t>Plan 2027/2024</t>
        </is>
      </c>
      <c r="E57" s="7" t="inlineStr">
        <is>
          <t>Plan 2027</t>
        </is>
      </c>
      <c r="F57" s="7" t="inlineStr">
        <is>
          <t>Cuadro 2. Reglamentos internos para la implementación del Plan 2027…</t>
        </is>
      </c>
      <c r="G57" s="7" t="inlineStr">
        <is>
          <t>Rediseño Curricular (ajustar artículo: «el Rediseño Curricular», «del Rediseño Curricular»)</t>
        </is>
      </c>
      <c r="H57" s="9" t="inlineStr">
        <is>
          <t>Corregido</t>
        </is>
      </c>
      <c r="I57" s="10" t="inlineStr">
        <is>
          <t>Aplicado en el Word revisado</t>
        </is>
      </c>
    </row>
    <row r="58">
      <c r="A58" s="8" t="inlineStr">
        <is>
          <t>13.1.3</t>
        </is>
      </c>
      <c r="B58" s="8" t="n">
        <v>165</v>
      </c>
      <c r="C58" s="8" t="inlineStr">
        <is>
          <t>Texto</t>
        </is>
      </c>
      <c r="D58" s="7" t="inlineStr">
        <is>
          <t>Plan 2027/2024</t>
        </is>
      </c>
      <c r="E58" s="7" t="inlineStr">
        <is>
          <t>Plan 2027</t>
        </is>
      </c>
      <c r="F58" s="7" t="inlineStr">
        <is>
          <t>… 60 días calendario, ocho semanas, en las carreras anualizadas. En el Plan 2027, el estudiante puede nivelar o adelantar hasta dos asignaturas por te…</t>
        </is>
      </c>
      <c r="G58" s="7" t="inlineStr">
        <is>
          <t>Rediseño Curricular (ajustar artículo: «el Rediseño Curricular», «del Rediseño Curricular»)</t>
        </is>
      </c>
      <c r="H58" s="9" t="inlineStr">
        <is>
          <t>Corregido</t>
        </is>
      </c>
      <c r="I58" s="10" t="inlineStr">
        <is>
          <t>Aplicado en el Word revisado</t>
        </is>
      </c>
    </row>
    <row r="59">
      <c r="A59" s="8" t="inlineStr">
        <is>
          <t>13.1.3</t>
        </is>
      </c>
      <c r="B59" s="8" t="n">
        <v>165</v>
      </c>
      <c r="C59" s="8" t="inlineStr">
        <is>
          <t>Texto</t>
        </is>
      </c>
      <c r="D59" s="7" t="inlineStr">
        <is>
          <t>Troncal</t>
        </is>
      </c>
      <c r="E59" s="7" t="inlineStr">
        <is>
          <t>troncales</t>
        </is>
      </c>
      <c r="F59" s="7" t="inlineStr">
        <is>
          <t>…aturas por temporada; se habilitan las asignaturas contextuales y las troncales de hasta 80 horas anuales, y las troncales de mayor carga solo pueden…</t>
        </is>
      </c>
      <c r="G59" s="7" t="inlineStr">
        <is>
          <t>Área Contable y de Auditoría (ajustar artículo y número: «asignaturas del Área Contable y de Auditoría»)</t>
        </is>
      </c>
      <c r="H59" s="9" t="inlineStr">
        <is>
          <t>Corregido</t>
        </is>
      </c>
      <c r="I59" s="10" t="inlineStr">
        <is>
          <t>Aplicado en el Word revisado</t>
        </is>
      </c>
    </row>
    <row r="60">
      <c r="A60" s="8" t="inlineStr">
        <is>
          <t>13.1.3</t>
        </is>
      </c>
      <c r="B60" s="8" t="n">
        <v>165</v>
      </c>
      <c r="C60" s="8" t="inlineStr">
        <is>
          <t>Texto</t>
        </is>
      </c>
      <c r="D60" s="7" t="inlineStr">
        <is>
          <t>Troncal</t>
        </is>
      </c>
      <c r="E60" s="7" t="inlineStr">
        <is>
          <t>troncales</t>
        </is>
      </c>
      <c r="F60" s="7" t="inlineStr">
        <is>
          <t>…naturas contextuales y las troncales de hasta 80 horas anuales, y las troncales de mayor carga solo pueden cursarse para recuperar una asignatura rep…</t>
        </is>
      </c>
      <c r="G60" s="7" t="inlineStr">
        <is>
          <t>Área Contable y de Auditoría (ajustar artículo y número: «asignaturas del Área Contable y de Auditoría»)</t>
        </is>
      </c>
      <c r="H60" s="9" t="inlineStr">
        <is>
          <t>Corregido</t>
        </is>
      </c>
      <c r="I60" s="10" t="inlineStr">
        <is>
          <t>Aplicado en el Word revisado</t>
        </is>
      </c>
    </row>
    <row r="61">
      <c r="A61" s="8" t="inlineStr">
        <is>
          <t>13.1.3</t>
        </is>
      </c>
      <c r="B61" s="8" t="n">
        <v>165</v>
      </c>
      <c r="C61" s="8" t="inlineStr">
        <is>
          <t>Texto</t>
        </is>
      </c>
      <c r="D61" s="7" t="inlineStr">
        <is>
          <t>Contextual</t>
        </is>
      </c>
      <c r="E61" s="7" t="inlineStr">
        <is>
          <t>contextuales</t>
        </is>
      </c>
      <c r="F61" s="7" t="inlineStr">
        <is>
          <t>…tar hasta dos asignaturas por temporada; se habilitan las asignaturas contextuales y las troncales de hasta 80 horas anuales, y las troncales de mayor c…</t>
        </is>
      </c>
      <c r="G61" s="7" t="inlineStr">
        <is>
          <t>Área Contextual (o «del Área Contextual»)</t>
        </is>
      </c>
      <c r="H61" s="9" t="inlineStr">
        <is>
          <t>Corregido</t>
        </is>
      </c>
      <c r="I61" s="10" t="inlineStr">
        <is>
          <t>Aplicado en el Word revisado</t>
        </is>
      </c>
    </row>
    <row r="62">
      <c r="A62" s="8" t="inlineStr">
        <is>
          <t>13.1.4</t>
        </is>
      </c>
      <c r="B62" s="8" t="n">
        <v>166</v>
      </c>
      <c r="C62" s="8" t="inlineStr">
        <is>
          <t>Texto</t>
        </is>
      </c>
      <c r="D62" s="7" t="inlineStr">
        <is>
          <t>Contador Público Autorizado</t>
        </is>
      </c>
      <c r="E62" s="7" t="inlineStr">
        <is>
          <t>Contador Público Autorizado - CPA</t>
        </is>
      </c>
      <c r="F62" s="7" t="inlineStr">
        <is>
          <t>…ional Ordinaria de Universidades del SUB (Ratificación del modelo del Contador Público Autorizado - CPA)…</t>
        </is>
      </c>
      <c r="G62" s="7" t="inlineStr">
        <is>
          <t>Mantener: es el nombre de la Resolución N.º 07/2024 (decisión de la comisión)</t>
        </is>
      </c>
      <c r="H62" s="9" t="inlineStr">
        <is>
          <t>No aplica</t>
        </is>
      </c>
      <c r="I62" s="10" t="n"/>
    </row>
    <row r="63">
      <c r="A63" s="8" t="inlineStr">
        <is>
          <t>13.1.4</t>
        </is>
      </c>
      <c r="B63" s="8" t="n">
        <v>166</v>
      </c>
      <c r="C63" s="8" t="inlineStr">
        <is>
          <t>Texto</t>
        </is>
      </c>
      <c r="D63" s="7" t="inlineStr">
        <is>
          <t>Plan 2027/2024</t>
        </is>
      </c>
      <c r="E63" s="7" t="inlineStr">
        <is>
          <t>Plan de Estudios 2027</t>
        </is>
      </c>
      <c r="F63" s="7" t="inlineStr">
        <is>
          <t>De conformidad con el Plan de Estudios 2027 y la estructura de titulación de la Carrera de Contaduría Pública, se…</t>
        </is>
      </c>
      <c r="G63" s="7" t="inlineStr">
        <is>
          <t>Rediseño Curricular (ajustar artículo: «el Rediseño Curricular», «del Rediseño Curricular»)</t>
        </is>
      </c>
      <c r="H63" s="9" t="inlineStr">
        <is>
          <t>Corregido</t>
        </is>
      </c>
      <c r="I63" s="10" t="inlineStr">
        <is>
          <t>Aplicado en el Word revisado</t>
        </is>
      </c>
    </row>
    <row r="64">
      <c r="A64" s="8" t="inlineStr">
        <is>
          <t>13.1.4</t>
        </is>
      </c>
      <c r="B64" s="8" t="n">
        <v>166</v>
      </c>
      <c r="C64" s="8" t="inlineStr">
        <is>
          <t>Texto</t>
        </is>
      </c>
      <c r="D64" s="7" t="inlineStr">
        <is>
          <t>Contador Público Autorizado</t>
        </is>
      </c>
      <c r="E64" s="7" t="inlineStr">
        <is>
          <t>Contador Público Autorizado (CPA)</t>
        </is>
      </c>
      <c r="F64" s="7" t="inlineStr">
        <is>
          <t>…Licenciado(a) en Contaduría Pública y Título en Provisión Nacional de Contador Público Autorizado (CPA), tras el cumplimiento de 6.000 horas académicas (43 asignaturas) y la…</t>
        </is>
      </c>
      <c r="G64" s="7" t="inlineStr">
        <is>
          <t>Mantener: se refiere al título en provisión nacional</t>
        </is>
      </c>
      <c r="H64" s="9" t="inlineStr">
        <is>
          <t>No aplica</t>
        </is>
      </c>
      <c r="I64" s="10" t="n"/>
    </row>
    <row r="65">
      <c r="A65" s="8" t="inlineStr">
        <is>
          <t>13.1.4</t>
        </is>
      </c>
      <c r="B65" s="8" t="n">
        <v>166</v>
      </c>
      <c r="C65" s="8" t="inlineStr">
        <is>
          <t>Texto</t>
        </is>
      </c>
      <c r="D65" s="7" t="inlineStr">
        <is>
          <t>Plan 2027/2024</t>
        </is>
      </c>
      <c r="E65" s="7" t="inlineStr">
        <is>
          <t>Plan de Estudios 2027</t>
        </is>
      </c>
      <c r="F65" s="7" t="inlineStr">
        <is>
          <t>…tricto apego al catálogo del Sistema de la Universidad Boliviana y al Plan de Estudios 2027, se reconocen oficialmente las siguientes modalidades:…</t>
        </is>
      </c>
      <c r="G65" s="7" t="inlineStr">
        <is>
          <t>Rediseño Curricular (ajustar artículo: «el Rediseño Curricular», «del Rediseño Curricular»)</t>
        </is>
      </c>
      <c r="H65" s="9" t="inlineStr">
        <is>
          <t>Corregido</t>
        </is>
      </c>
      <c r="I65" s="10" t="inlineStr">
        <is>
          <t>Aplicado en el Word revisado</t>
        </is>
      </c>
    </row>
    <row r="66">
      <c r="A66" s="8" t="inlineStr">
        <is>
          <t>13.1.4</t>
        </is>
      </c>
      <c r="B66" s="8" t="n">
        <v>167</v>
      </c>
      <c r="C66" s="8" t="inlineStr">
        <is>
          <t>Texto</t>
        </is>
      </c>
      <c r="D66" s="7" t="inlineStr">
        <is>
          <t>Troncal</t>
        </is>
      </c>
      <c r="E66" s="7" t="inlineStr">
        <is>
          <t>troncales</t>
        </is>
      </c>
      <c r="F66" s="7" t="inlineStr">
        <is>
          <t>…cnico Superior: Evaluación comprensiva sobre las ocho (8) asignaturas troncales del ciclo intermedio (Primer a Tercer año).…</t>
        </is>
      </c>
      <c r="G66" s="7" t="inlineStr">
        <is>
          <t>Área Contable y de Auditoría (ajustar artículo y número: «asignaturas del Área Contable y de Auditoría»)</t>
        </is>
      </c>
      <c r="H66" s="9" t="inlineStr">
        <is>
          <t>Corregido</t>
        </is>
      </c>
      <c r="I66" s="10" t="inlineStr">
        <is>
          <t>Aplicado en el Word revisado</t>
        </is>
      </c>
    </row>
    <row r="67">
      <c r="A67" s="8" t="inlineStr">
        <is>
          <t>13.1.4</t>
        </is>
      </c>
      <c r="B67" s="8" t="n">
        <v>175</v>
      </c>
      <c r="C67" s="8" t="inlineStr">
        <is>
          <t>Texto</t>
        </is>
      </c>
      <c r="D67" s="7" t="inlineStr">
        <is>
          <t>Contador Público Autorizado</t>
        </is>
      </c>
      <c r="E67" s="7" t="inlineStr">
        <is>
          <t>Contador Público Autorizado (CPA)</t>
        </is>
      </c>
      <c r="F67" s="7" t="inlineStr">
        <is>
          <t>… Contaduría Pública y del Título Profesional en Provisión Nacional de Contador Público Autorizado (CPA).…</t>
        </is>
      </c>
      <c r="G67" s="7" t="inlineStr">
        <is>
          <t>Mantener: se refiere al título en provisión nacional</t>
        </is>
      </c>
      <c r="H67" s="9" t="inlineStr">
        <is>
          <t>No aplica</t>
        </is>
      </c>
      <c r="I67" s="10" t="n"/>
    </row>
    <row r="68">
      <c r="A68" s="8" t="inlineStr">
        <is>
          <t>13.1.4</t>
        </is>
      </c>
      <c r="B68" s="8" t="n">
        <v>181</v>
      </c>
      <c r="C68" s="8" t="inlineStr">
        <is>
          <t>Texto</t>
        </is>
      </c>
      <c r="D68" s="7" t="inlineStr">
        <is>
          <t>Contador Público Autorizado</t>
        </is>
      </c>
      <c r="E68" s="7" t="inlineStr">
        <is>
          <t>Contador Público Autorizado (CPA)</t>
        </is>
      </c>
      <c r="F68" s="7" t="inlineStr">
        <is>
          <t>… Contaduría Pública y del Título Profesional en Provisión Nacional de Contador Público Autorizado (CPA).…</t>
        </is>
      </c>
      <c r="G68" s="7" t="inlineStr">
        <is>
          <t>Mantener: se refiere al título en provisión nacional</t>
        </is>
      </c>
      <c r="H68" s="9" t="inlineStr">
        <is>
          <t>No aplica</t>
        </is>
      </c>
      <c r="I68" s="10" t="n"/>
    </row>
    <row r="69">
      <c r="A69" s="8" t="inlineStr">
        <is>
          <t>13.1.4</t>
        </is>
      </c>
      <c r="B69" s="8" t="n">
        <v>181</v>
      </c>
      <c r="C69" s="8" t="inlineStr">
        <is>
          <t>Texto</t>
        </is>
      </c>
      <c r="D69" s="7" t="inlineStr">
        <is>
          <t>Contador Público Autorizado</t>
        </is>
      </c>
      <c r="E69" s="7" t="inlineStr">
        <is>
          <t>Contador Público Autorizado (CPA)</t>
        </is>
      </c>
      <c r="F69" s="7" t="inlineStr">
        <is>
          <t>…és (UMSA). Su finalidad es aplicar las competencias profesionales del Contador Público Autorizado (CPA) en la solución de problemas reales del entorno institucional.…</t>
        </is>
      </c>
      <c r="G69" s="7" t="inlineStr">
        <is>
          <t>Contador Público</t>
        </is>
      </c>
      <c r="H69" s="9" t="inlineStr">
        <is>
          <t>Corregido</t>
        </is>
      </c>
      <c r="I69" s="10" t="inlineStr">
        <is>
          <t>Aplicado en el Word revisado</t>
        </is>
      </c>
    </row>
    <row r="70">
      <c r="A70" s="8" t="inlineStr">
        <is>
          <t>13.1.4</t>
        </is>
      </c>
      <c r="B70" s="8" t="n">
        <v>188</v>
      </c>
      <c r="C70" s="8" t="inlineStr">
        <is>
          <t>Texto</t>
        </is>
      </c>
      <c r="D70" s="7" t="inlineStr">
        <is>
          <t>Contador Público Autorizado</t>
        </is>
      </c>
      <c r="E70" s="7" t="inlineStr">
        <is>
          <t>Contador Público Autorizado (CPA)</t>
        </is>
      </c>
      <c r="F70" s="7" t="inlineStr">
        <is>
          <t>… Contaduría Pública y del Título Profesional en Provisión Nacional de Contador Público Autorizado (CPA).…</t>
        </is>
      </c>
      <c r="G70" s="7" t="inlineStr">
        <is>
          <t>Mantener: se refiere al título en provisión nacional</t>
        </is>
      </c>
      <c r="H70" s="9" t="inlineStr">
        <is>
          <t>No aplica</t>
        </is>
      </c>
      <c r="I70" s="10" t="n"/>
    </row>
    <row r="71">
      <c r="A71" s="8" t="inlineStr">
        <is>
          <t>13.1.4</t>
        </is>
      </c>
      <c r="B71" s="8" t="n">
        <v>193</v>
      </c>
      <c r="C71" s="8" t="inlineStr">
        <is>
          <t>Texto</t>
        </is>
      </c>
      <c r="D71" s="7" t="inlineStr">
        <is>
          <t>Contador Público Autorizado</t>
        </is>
      </c>
      <c r="E71" s="7" t="inlineStr">
        <is>
          <t>Contador Público Autorizado (CPA)</t>
        </is>
      </c>
      <c r="F71" s="7" t="inlineStr">
        <is>
          <t>… Contaduría Pública y del Título Profesional en Provisión Nacional de Contador Público Autorizado (CPA).…</t>
        </is>
      </c>
      <c r="G71" s="7" t="inlineStr">
        <is>
          <t>Mantener: se refiere al título en provisión nacional</t>
        </is>
      </c>
      <c r="H71" s="9" t="inlineStr">
        <is>
          <t>No aplica</t>
        </is>
      </c>
      <c r="I71" s="10" t="n"/>
    </row>
    <row r="72">
      <c r="A72" s="8" t="inlineStr">
        <is>
          <t>13.1.4</t>
        </is>
      </c>
      <c r="B72" s="8" t="n">
        <v>195</v>
      </c>
      <c r="C72" s="8" t="inlineStr">
        <is>
          <t>Texto</t>
        </is>
      </c>
      <c r="D72" s="7" t="inlineStr">
        <is>
          <t>Contador Público Autorizado</t>
        </is>
      </c>
      <c r="E72" s="7" t="inlineStr">
        <is>
          <t>Contador Público Autorizado (CPA)</t>
        </is>
      </c>
      <c r="F72" s="7" t="inlineStr">
        <is>
          <t>… Contaduría Pública y del Título Profesional en Provisión Nacional de Contador Público Autorizado (CPA).…</t>
        </is>
      </c>
      <c r="G72" s="7" t="inlineStr">
        <is>
          <t>Mantener: se refiere al título en provisión nacional</t>
        </is>
      </c>
      <c r="H72" s="9" t="inlineStr">
        <is>
          <t>No aplica</t>
        </is>
      </c>
      <c r="I72" s="10" t="n"/>
    </row>
    <row r="73">
      <c r="A73" s="8" t="inlineStr">
        <is>
          <t>13.1.4</t>
        </is>
      </c>
      <c r="B73" s="8" t="n">
        <v>197</v>
      </c>
      <c r="C73" s="8" t="inlineStr">
        <is>
          <t>Texto</t>
        </is>
      </c>
      <c r="D73" s="7" t="inlineStr">
        <is>
          <t>Contador Público Autorizado</t>
        </is>
      </c>
      <c r="E73" s="7" t="inlineStr">
        <is>
          <t>Contador Público Autorizado (CPA)</t>
        </is>
      </c>
      <c r="F73" s="7" t="inlineStr">
        <is>
          <t>… Contaduría Pública y del Título Profesional en Provisión Nacional de Contador Público Autorizado (CPA).…</t>
        </is>
      </c>
      <c r="G73" s="7" t="inlineStr">
        <is>
          <t>Mantener: se refiere al título en provisión nacional</t>
        </is>
      </c>
      <c r="H73" s="9" t="inlineStr">
        <is>
          <t>No aplica</t>
        </is>
      </c>
      <c r="I73" s="10" t="n"/>
    </row>
    <row r="74">
      <c r="A74" s="8" t="inlineStr">
        <is>
          <t>13.1.4</t>
        </is>
      </c>
      <c r="B74" s="8" t="n">
        <v>197</v>
      </c>
      <c r="C74" s="8" t="inlineStr">
        <is>
          <t>Texto</t>
        </is>
      </c>
      <c r="D74" s="7" t="inlineStr">
        <is>
          <t>Contador Público Autorizado</t>
        </is>
      </c>
      <c r="E74" s="7" t="inlineStr">
        <is>
          <t>Contador Público Autorizado (CPA)</t>
        </is>
      </c>
      <c r="F74" s="7" t="inlineStr">
        <is>
          <t>…n Contaduría Pública y el Título Profesional en Provisión Nacional de Contador Público Autorizado (CPA).…</t>
        </is>
      </c>
      <c r="G74" s="7" t="inlineStr">
        <is>
          <t>Mantener: se refiere al título en provisión nacional</t>
        </is>
      </c>
      <c r="H74" s="9" t="inlineStr">
        <is>
          <t>No aplica</t>
        </is>
      </c>
      <c r="I74" s="10" t="n"/>
    </row>
    <row r="75">
      <c r="A75" s="8" t="inlineStr">
        <is>
          <t>13.1.4</t>
        </is>
      </c>
      <c r="B75" s="8" t="n">
        <v>199</v>
      </c>
      <c r="C75" s="8" t="inlineStr">
        <is>
          <t>Texto</t>
        </is>
      </c>
      <c r="D75" s="7" t="inlineStr">
        <is>
          <t>Plan 2027/2024</t>
        </is>
      </c>
      <c r="E75" s="7" t="inlineStr">
        <is>
          <t>Plan de Estudios 2027</t>
        </is>
      </c>
      <c r="F75" s="7" t="inlineStr">
        <is>
          <t>… de estudios, o podrán acogerse voluntariamente a las modalidades del Plan de Estudios 2027 mediante homologación ante la Dirección de Carrera.…</t>
        </is>
      </c>
      <c r="G75" s="7" t="inlineStr">
        <is>
          <t>Rediseño Curricular (ajustar artículo: «el Rediseño Curricular», «del Rediseño Curricular»)</t>
        </is>
      </c>
      <c r="H75" s="9" t="inlineStr">
        <is>
          <t>Corregido</t>
        </is>
      </c>
      <c r="I75" s="10" t="inlineStr">
        <is>
          <t>Aplicado en el Word revisado</t>
        </is>
      </c>
    </row>
    <row r="76">
      <c r="A76" s="8" t="inlineStr">
        <is>
          <t>13.1.4</t>
        </is>
      </c>
      <c r="B76" s="8" t="n">
        <v>200</v>
      </c>
      <c r="C76" s="8" t="inlineStr">
        <is>
          <t>Texto</t>
        </is>
      </c>
      <c r="D76" s="7" t="inlineStr">
        <is>
          <t>Contador Público Autorizado</t>
        </is>
      </c>
      <c r="E76" s="7" t="inlineStr">
        <is>
          <t>Contador Público Autorizado - CPA</t>
        </is>
      </c>
      <c r="F76" s="7" t="inlineStr">
        <is>
          <t>…e la UMSA, siendo de aplicación obligatoria para el Plan de Estudios (Contador Público Autorizado - CPA).…</t>
        </is>
      </c>
      <c r="G76" s="7" t="inlineStr">
        <is>
          <t>Rediseño Curricular de la Licenciatura en Contaduría Pública (frase completa: «para el Rediseño Curricular de la Licenciatura en Contaduría Pública»)</t>
        </is>
      </c>
      <c r="H76" s="9" t="inlineStr">
        <is>
          <t>Corregido</t>
        </is>
      </c>
      <c r="I76" s="10" t="inlineStr">
        <is>
          <t>Aplicado en el Word revisado</t>
        </is>
      </c>
    </row>
    <row r="77">
      <c r="A77" s="8" t="inlineStr">
        <is>
          <t>13.2.2</t>
        </is>
      </c>
      <c r="B77" s="8" t="n">
        <v>200</v>
      </c>
      <c r="C77" s="8" t="inlineStr">
        <is>
          <t>Texto</t>
        </is>
      </c>
      <c r="D77" s="7" t="inlineStr">
        <is>
          <t>Plan 2027/2024</t>
        </is>
      </c>
      <c r="E77" s="7" t="inlineStr">
        <is>
          <t>Plan 2027</t>
        </is>
      </c>
      <c r="F77" s="7" t="inlineStr">
        <is>
          <t>…glamento interno del Instituto se actualizará para articularlo con el Plan 2027 con base en los siguientes lineamientos:…</t>
        </is>
      </c>
      <c r="G77" s="7" t="inlineStr">
        <is>
          <t>Rediseño Curricular (ajustar artículo: «el Rediseño Curricular», «del Rediseño Curricular»)</t>
        </is>
      </c>
      <c r="H77" s="9" t="inlineStr">
        <is>
          <t>Corregido</t>
        </is>
      </c>
      <c r="I77" s="10" t="inlineStr">
        <is>
          <t>Aplicado en el Word revisado</t>
        </is>
      </c>
    </row>
    <row r="78">
      <c r="A78" s="8" t="inlineStr">
        <is>
          <t>14.4</t>
        </is>
      </c>
      <c r="B78" s="8" t="n">
        <v>208</v>
      </c>
      <c r="C78" s="8" t="inlineStr">
        <is>
          <t>Texto</t>
        </is>
      </c>
      <c r="D78" s="7" t="inlineStr">
        <is>
          <t>Plan 2027/2024</t>
        </is>
      </c>
      <c r="E78" s="7" t="inlineStr">
        <is>
          <t>Plan de Estudios 2024</t>
        </is>
      </c>
      <c r="F78" s="7" t="inlineStr">
        <is>
          <t>Fuente: Plan de Estudios 2024.…</t>
        </is>
      </c>
      <c r="G78" s="7" t="inlineStr">
        <is>
          <t>Mantener: alude al Plan de Estudios 2024 abrogado (Res. HCU N.º 016/2025), no al rediseño</t>
        </is>
      </c>
      <c r="H78" s="9" t="inlineStr">
        <is>
          <t>No aplica</t>
        </is>
      </c>
      <c r="I78" s="10" t="n"/>
    </row>
    <row r="79">
      <c r="A79" s="8" t="inlineStr">
        <is>
          <t>14.6</t>
        </is>
      </c>
      <c r="B79" s="8" t="n">
        <v>209</v>
      </c>
      <c r="C79" s="8" t="inlineStr">
        <is>
          <t>Texto</t>
        </is>
      </c>
      <c r="D79" s="7" t="inlineStr">
        <is>
          <t>Plan 2027/2024</t>
        </is>
      </c>
      <c r="E79" s="7" t="inlineStr">
        <is>
          <t>Plan de Estudios 2024</t>
        </is>
      </c>
      <c r="F79" s="7" t="inlineStr">
        <is>
          <t>Fuente: Plan de Estudios 2024. Todos los ambientes son de uso exclusivo de la Carrera.…</t>
        </is>
      </c>
      <c r="G79" s="7" t="inlineStr">
        <is>
          <t>Mantener: alude al Plan de Estudios 2024 abrogado (Res. HCU N.º 016/2025), no al rediseño</t>
        </is>
      </c>
      <c r="H79" s="9" t="inlineStr">
        <is>
          <t>No aplica</t>
        </is>
      </c>
      <c r="I79" s="10" t="n"/>
    </row>
    <row r="80">
      <c r="A80" s="8" t="inlineStr">
        <is>
          <t>16</t>
        </is>
      </c>
      <c r="B80" s="8" t="n">
        <v>220</v>
      </c>
      <c r="C80" s="8" t="inlineStr">
        <is>
          <t>Texto</t>
        </is>
      </c>
      <c r="D80" s="7" t="inlineStr">
        <is>
          <t>Plan 2027/2024</t>
        </is>
      </c>
      <c r="E80" s="7" t="inlineStr">
        <is>
          <t>Plan de Estudios 2027</t>
        </is>
      </c>
      <c r="F80" s="7" t="inlineStr">
        <is>
          <t>…esoluciones HCC N.º 162/2012, HCF N.º 929/2012 y HCU N.º 025/2013, al Plan de Estudios 2027: el cuadro de convalidación y homologación de asignaturas para estudi…</t>
        </is>
      </c>
      <c r="G80" s="7" t="inlineStr">
        <is>
          <t>Rediseño Curricular (ajustar artículo: «el Rediseño Curricular», «del Rediseño Curricular»)</t>
        </is>
      </c>
      <c r="H80" s="9" t="inlineStr">
        <is>
          <t>Corregido</t>
        </is>
      </c>
      <c r="I80" s="10" t="inlineStr">
        <is>
          <t>Aplicado en el Word revisado</t>
        </is>
      </c>
    </row>
    <row r="81">
      <c r="A81" s="8" t="inlineStr">
        <is>
          <t>16.1.1</t>
        </is>
      </c>
      <c r="B81" s="8" t="n">
        <v>220</v>
      </c>
      <c r="C81" s="8" t="inlineStr">
        <is>
          <t>Texto</t>
        </is>
      </c>
      <c r="D81" s="7" t="inlineStr">
        <is>
          <t>Plan 2027/2024</t>
        </is>
      </c>
      <c r="E81" s="7" t="inlineStr">
        <is>
          <t>Plan 2027</t>
        </is>
      </c>
      <c r="F81" s="7" t="inlineStr">
        <is>
          <t>…tura aprobada en el Plan 2013 conserva su validez y se reconoce en el Plan 2027 mediante homologación o convalidación.…</t>
        </is>
      </c>
      <c r="G81" s="7" t="inlineStr">
        <is>
          <t>Rediseño Curricular (ajustar artículo: «el Rediseño Curricular», «del Rediseño Curricular»)</t>
        </is>
      </c>
      <c r="H81" s="9" t="inlineStr">
        <is>
          <t>Corregido</t>
        </is>
      </c>
      <c r="I81" s="10" t="inlineStr">
        <is>
          <t>Aplicado en el Word revisado</t>
        </is>
      </c>
    </row>
    <row r="82">
      <c r="A82" s="8" t="inlineStr">
        <is>
          <t>16.1.1</t>
        </is>
      </c>
      <c r="B82" s="8" t="n">
        <v>220</v>
      </c>
      <c r="C82" s="8" t="inlineStr">
        <is>
          <t>Texto</t>
        </is>
      </c>
      <c r="D82" s="7" t="inlineStr">
        <is>
          <t>Plan 2027/2024</t>
        </is>
      </c>
      <c r="E82" s="7" t="inlineStr">
        <is>
          <t>Plan 2027</t>
        </is>
      </c>
      <c r="F82" s="7" t="inlineStr">
        <is>
          <t>…ia en el Plan 2013, con la asignación de la cátedra equivalente en el Plan 2027.…</t>
        </is>
      </c>
      <c r="G82" s="7" t="inlineStr">
        <is>
          <t>Rediseño Curricular (ajustar artículo: «el Rediseño Curricular», «del Rediseño Curricular»)</t>
        </is>
      </c>
      <c r="H82" s="9" t="inlineStr">
        <is>
          <t>Corregido</t>
        </is>
      </c>
      <c r="I82" s="10" t="inlineStr">
        <is>
          <t>Aplicado en el Word revisado</t>
        </is>
      </c>
    </row>
    <row r="83">
      <c r="A83" s="8" t="inlineStr">
        <is>
          <t>16.1.1</t>
        </is>
      </c>
      <c r="B83" s="8" t="n">
        <v>220</v>
      </c>
      <c r="C83" s="8" t="inlineStr">
        <is>
          <t>Texto</t>
        </is>
      </c>
      <c r="D83" s="7" t="inlineStr">
        <is>
          <t>Plan 2027/2024</t>
        </is>
      </c>
      <c r="E83" s="7" t="inlineStr">
        <is>
          <t>Plan 2027</t>
        </is>
      </c>
      <c r="F83" s="7" t="inlineStr">
        <is>
          <t>Implantación gradual. El Plan 2027 se aplica año por año desde 2027, y el Plan 2013 se extingue de forma…</t>
        </is>
      </c>
      <c r="G83" s="7" t="inlineStr">
        <is>
          <t>Rediseño Curricular (ajustar artículo: «el Rediseño Curricular», «del Rediseño Curricular»)</t>
        </is>
      </c>
      <c r="H83" s="9" t="inlineStr">
        <is>
          <t>Corregido</t>
        </is>
      </c>
      <c r="I83" s="10" t="inlineStr">
        <is>
          <t>Aplicado en el Word revisado</t>
        </is>
      </c>
    </row>
    <row r="84">
      <c r="A84" s="8" t="inlineStr">
        <is>
          <t>16.1.3</t>
        </is>
      </c>
      <c r="B84" s="8" t="n">
        <v>220</v>
      </c>
      <c r="C84" s="8" t="inlineStr">
        <is>
          <t>Texto</t>
        </is>
      </c>
      <c r="D84" s="7" t="inlineStr">
        <is>
          <t>Plan 2027/2024</t>
        </is>
      </c>
      <c r="E84" s="7" t="inlineStr">
        <is>
          <t>Plan 2027</t>
        </is>
      </c>
      <c r="F84" s="7" t="inlineStr">
        <is>
          <t>16.1.3Cuadro de equivalencias entre el Plan 2013 y el Plan 2027…</t>
        </is>
      </c>
      <c r="G84" s="7" t="inlineStr">
        <is>
          <t>Rediseño Curricular (ajustar artículo: «el Rediseño Curricular», «del Rediseño Curricular»)</t>
        </is>
      </c>
      <c r="H84" s="9" t="inlineStr">
        <is>
          <t>Corregido</t>
        </is>
      </c>
      <c r="I84" s="10" t="inlineStr">
        <is>
          <t>Aplicado en el Word revisado</t>
        </is>
      </c>
    </row>
    <row r="85">
      <c r="A85" s="8" t="inlineStr">
        <is>
          <t>16.1.3</t>
        </is>
      </c>
      <c r="B85" s="8" t="n">
        <v>220</v>
      </c>
      <c r="C85" s="8" t="inlineStr">
        <is>
          <t>Texto</t>
        </is>
      </c>
      <c r="D85" s="7" t="inlineStr">
        <is>
          <t>Plan 2027/2024</t>
        </is>
      </c>
      <c r="E85" s="7" t="inlineStr">
        <is>
          <t>Plan 2027</t>
        </is>
      </c>
      <c r="F85" s="7" t="inlineStr">
        <is>
          <t>…quivalente. Las 43 asignaturas del Plan 2013 tienen equivalente en el Plan 2027:…</t>
        </is>
      </c>
      <c r="G85" s="7" t="inlineStr">
        <is>
          <t>Rediseño Curricular (ajustar artículo: «el Rediseño Curricular», «del Rediseño Curricular»)</t>
        </is>
      </c>
      <c r="H85" s="9" t="inlineStr">
        <is>
          <t>Corregido</t>
        </is>
      </c>
      <c r="I85" s="10" t="inlineStr">
        <is>
          <t>Aplicado en el Word revisado</t>
        </is>
      </c>
    </row>
    <row r="86">
      <c r="A86" s="8" t="inlineStr">
        <is>
          <t>16.1.3</t>
        </is>
      </c>
      <c r="B86" s="8" t="n">
        <v>220</v>
      </c>
      <c r="C86" s="8" t="inlineStr">
        <is>
          <t>Texto</t>
        </is>
      </c>
      <c r="D86" s="7" t="inlineStr">
        <is>
          <t>Plan 2027/2024</t>
        </is>
      </c>
      <c r="E86" s="7" t="inlineStr">
        <is>
          <t>Plan de Estudios 2027</t>
        </is>
      </c>
      <c r="F86" s="7" t="inlineStr">
        <is>
          <t>Cuadro 1. Equivalencias entre el Plan de Estudios 2013 y el Plan de Estudios 2027…</t>
        </is>
      </c>
      <c r="G86" s="7" t="inlineStr">
        <is>
          <t>Rediseño Curricular (ajustar artículo: «el Rediseño Curricular», «del Rediseño Curricular»)</t>
        </is>
      </c>
      <c r="H86" s="9" t="inlineStr">
        <is>
          <t>Corregido</t>
        </is>
      </c>
      <c r="I86" s="10" t="inlineStr">
        <is>
          <t>Aplicado en el Word revisado</t>
        </is>
      </c>
    </row>
    <row r="87">
      <c r="A87" s="8" t="inlineStr">
        <is>
          <t>16.1.3</t>
        </is>
      </c>
      <c r="B87" s="8" t="n">
        <v>220</v>
      </c>
      <c r="C87" s="8" t="inlineStr">
        <is>
          <t>Tabla</t>
        </is>
      </c>
      <c r="D87" s="7" t="inlineStr">
        <is>
          <t>Plan 2027/2024</t>
        </is>
      </c>
      <c r="E87" s="7" t="inlineStr">
        <is>
          <t>Plan 2027</t>
        </is>
      </c>
      <c r="F87" s="7" t="inlineStr">
        <is>
          <t>Asignatura equivalente del Plan 2027…</t>
        </is>
      </c>
      <c r="G87" s="7" t="inlineStr">
        <is>
          <t>Rediseño Curricular (ajustar artículo: «el Rediseño Curricular», «del Rediseño Curricular»)</t>
        </is>
      </c>
      <c r="H87" s="9" t="inlineStr">
        <is>
          <t>Corregido</t>
        </is>
      </c>
      <c r="I87" s="10" t="inlineStr">
        <is>
          <t>Aplicado en el Word revisado</t>
        </is>
      </c>
    </row>
    <row r="88">
      <c r="A88" s="8" t="inlineStr">
        <is>
          <t>16.1.3</t>
        </is>
      </c>
      <c r="B88" s="8" t="n">
        <v>222</v>
      </c>
      <c r="C88" s="8" t="inlineStr">
        <is>
          <t>Texto</t>
        </is>
      </c>
      <c r="D88" s="7" t="inlineStr">
        <is>
          <t>Plan 2027/2024</t>
        </is>
      </c>
      <c r="E88" s="7" t="inlineStr">
        <is>
          <t>Plan 2027</t>
        </is>
      </c>
      <c r="F88" s="7" t="inlineStr">
        <is>
          <t>…a de sus contenidos: CPA-102, CPA-305, CPA-505, CPA-506 y MAT-201 del Plan 2027.…</t>
        </is>
      </c>
      <c r="G88" s="7" t="inlineStr">
        <is>
          <t>Rediseño Curricular (ajustar artículo: «el Rediseño Curricular», «del Rediseño Curricular»)</t>
        </is>
      </c>
      <c r="H88" s="9" t="inlineStr">
        <is>
          <t>Corregido</t>
        </is>
      </c>
      <c r="I88" s="10" t="inlineStr">
        <is>
          <t>Aplicado en el Word revisado</t>
        </is>
      </c>
    </row>
    <row r="89">
      <c r="A89" s="8" t="inlineStr">
        <is>
          <t>16.1.4</t>
        </is>
      </c>
      <c r="B89" s="8" t="n">
        <v>222</v>
      </c>
      <c r="C89" s="8" t="inlineStr">
        <is>
          <t>Texto</t>
        </is>
      </c>
      <c r="D89" s="7" t="inlineStr">
        <is>
          <t>Plan 2027/2024</t>
        </is>
      </c>
      <c r="E89" s="7" t="inlineStr">
        <is>
          <t>Plan 2027</t>
        </is>
      </c>
      <c r="F89" s="7" t="inlineStr">
        <is>
          <t>El estudiante del Plan 2013 puede migrar voluntariamente al Plan 2027 en cualquier momento de la transición, con el reconocimiento de todas…</t>
        </is>
      </c>
      <c r="G89" s="7" t="inlineStr">
        <is>
          <t>Rediseño Curricular (ajustar artículo: «el Rediseño Curricular», «del Rediseño Curricular»)</t>
        </is>
      </c>
      <c r="H89" s="9" t="inlineStr">
        <is>
          <t>Corregido</t>
        </is>
      </c>
      <c r="I89" s="10" t="inlineStr">
        <is>
          <t>Aplicado en el Word revisado</t>
        </is>
      </c>
    </row>
    <row r="90">
      <c r="A90" s="8" t="inlineStr">
        <is>
          <t>16.1.4</t>
        </is>
      </c>
      <c r="B90" s="8" t="n">
        <v>222</v>
      </c>
      <c r="C90" s="8" t="inlineStr">
        <is>
          <t>Texto</t>
        </is>
      </c>
      <c r="D90" s="7" t="inlineStr">
        <is>
          <t>Plan 2027/2024</t>
        </is>
      </c>
      <c r="E90" s="7" t="inlineStr">
        <is>
          <t>Plan 2027</t>
        </is>
      </c>
      <c r="F90" s="7" t="inlineStr">
        <is>
          <t>…e fueron aprobadas; el estudiante que migra cursa las asignaturas del Plan 2027 que no tienen equivalente aprobado, con sujeción a sus prerrequisitos…</t>
        </is>
      </c>
      <c r="G90" s="7" t="inlineStr">
        <is>
          <t>Rediseño Curricular (ajustar artículo: «el Rediseño Curricular», «del Rediseño Curricular»)</t>
        </is>
      </c>
      <c r="H90" s="9" t="inlineStr">
        <is>
          <t>Corregido</t>
        </is>
      </c>
      <c r="I90" s="10" t="inlineStr">
        <is>
          <t>Aplicado en el Word revisado</t>
        </is>
      </c>
    </row>
    <row r="91">
      <c r="A91" s="8" t="inlineStr">
        <is>
          <t>16.1.4</t>
        </is>
      </c>
      <c r="B91" s="8" t="n">
        <v>222</v>
      </c>
      <c r="C91" s="8" t="inlineStr">
        <is>
          <t>Texto</t>
        </is>
      </c>
      <c r="D91" s="7" t="inlineStr">
        <is>
          <t>Plan 2027/2024</t>
        </is>
      </c>
      <c r="E91" s="7" t="inlineStr">
        <is>
          <t>Plan 2027</t>
        </is>
      </c>
      <c r="F91" s="7" t="inlineStr">
        <is>
          <t>…entes titulares conservan su cátedra en la asignatura equivalente del Plan 2027. Cuando la carga horaria de la asignatura disminuye, la diferencia se…</t>
        </is>
      </c>
      <c r="G91" s="7" t="inlineStr">
        <is>
          <t>Rediseño Curricular (ajustar artículo: «el Rediseño Curricular», «del Rediseño Curricular»)</t>
        </is>
      </c>
      <c r="H91" s="9" t="inlineStr">
        <is>
          <t>Corregido</t>
        </is>
      </c>
      <c r="I91" s="10" t="inlineStr">
        <is>
          <t>Aplicado en el Word revisado</t>
        </is>
      </c>
    </row>
    <row r="92">
      <c r="A92" s="8" t="inlineStr">
        <is>
          <t>16.2</t>
        </is>
      </c>
      <c r="B92" s="8" t="n">
        <v>223</v>
      </c>
      <c r="C92" s="8" t="inlineStr">
        <is>
          <t>Texto</t>
        </is>
      </c>
      <c r="D92" s="7" t="inlineStr">
        <is>
          <t>Plan 2027/2024</t>
        </is>
      </c>
      <c r="E92" s="7" t="inlineStr">
        <is>
          <t>Plan 2027</t>
        </is>
      </c>
      <c r="F92" s="7" t="inlineStr">
        <is>
          <t>Cuadro 2. Cronograma de implementación del Plan 2027…</t>
        </is>
      </c>
      <c r="G92" s="7" t="inlineStr">
        <is>
          <t>Rediseño Curricular (ajustar artículo: «el Rediseño Curricular», «del Rediseño Curricular»)</t>
        </is>
      </c>
      <c r="H92" s="9" t="inlineStr">
        <is>
          <t>Corregido</t>
        </is>
      </c>
      <c r="I92" s="10" t="inlineStr">
        <is>
          <t>Aplicado en el Word revisado</t>
        </is>
      </c>
    </row>
    <row r="93">
      <c r="A93" s="8" t="inlineStr">
        <is>
          <t>16.2</t>
        </is>
      </c>
      <c r="B93" s="8" t="n">
        <v>223</v>
      </c>
      <c r="C93" s="8" t="inlineStr">
        <is>
          <t>Tabla</t>
        </is>
      </c>
      <c r="D93" s="7" t="inlineStr">
        <is>
          <t>Plan 2027/2024</t>
        </is>
      </c>
      <c r="E93" s="7" t="inlineStr">
        <is>
          <t>Plan de Estudios 2027</t>
        </is>
      </c>
      <c r="F93" s="7" t="inlineStr">
        <is>
          <t>Plan de Estudios 2027…</t>
        </is>
      </c>
      <c r="G93" s="7" t="inlineStr">
        <is>
          <t>Rediseño Curricular (ajustar artículo: «el Rediseño Curricular», «del Rediseño Curricular»)</t>
        </is>
      </c>
      <c r="H93" s="9" t="inlineStr">
        <is>
          <t>Corregido</t>
        </is>
      </c>
      <c r="I93" s="10" t="inlineStr">
        <is>
          <t>Aplicado en el Word revisado</t>
        </is>
      </c>
    </row>
    <row r="94">
      <c r="A94" s="8" t="inlineStr">
        <is>
          <t>16.2</t>
        </is>
      </c>
      <c r="B94" s="8" t="n">
        <v>223</v>
      </c>
      <c r="C94" s="8" t="inlineStr">
        <is>
          <t>Tabla</t>
        </is>
      </c>
      <c r="D94" s="7" t="inlineStr">
        <is>
          <t>Plan 2027/2024</t>
        </is>
      </c>
      <c r="E94" s="7" t="inlineStr">
        <is>
          <t>Plan 2027</t>
        </is>
      </c>
      <c r="F94" s="7" t="inlineStr">
        <is>
          <t>Primera promoción del Plan 2027…</t>
        </is>
      </c>
      <c r="G94" s="7" t="inlineStr">
        <is>
          <t>Rediseño Curricular (ajustar artículo: «el Rediseño Curricular», «del Rediseño Curricular»)</t>
        </is>
      </c>
      <c r="H94" s="9" t="inlineStr">
        <is>
          <t>Corregido</t>
        </is>
      </c>
      <c r="I94" s="10" t="inlineStr">
        <is>
          <t>Aplicado en el Word revisado</t>
        </is>
      </c>
    </row>
    <row r="95">
      <c r="A95" s="8" t="inlineStr">
        <is>
          <t>16.2</t>
        </is>
      </c>
      <c r="B95" s="8" t="n">
        <v>223</v>
      </c>
      <c r="C95" s="8" t="inlineStr">
        <is>
          <t>Texto</t>
        </is>
      </c>
      <c r="D95" s="7" t="inlineStr">
        <is>
          <t>Plan 2027/2024</t>
        </is>
      </c>
      <c r="E95" s="7" t="inlineStr">
        <is>
          <t>Plan 2027</t>
        </is>
      </c>
      <c r="F95" s="7" t="inlineStr">
        <is>
          <t>…tro de Cómputo y las jefaturas de área. Antes de iniciar cada año del Plan 2027, el Honorable Consejo de Carrera aprueba los planes de asignatura de …</t>
        </is>
      </c>
      <c r="G95" s="7" t="inlineStr">
        <is>
          <t>Rediseño Curricular (ajustar artículo: «el Rediseño Curricular», «del Rediseño Curricular»)</t>
        </is>
      </c>
      <c r="H95" s="9" t="inlineStr">
        <is>
          <t>Corregido</t>
        </is>
      </c>
      <c r="I95" s="10" t="inlineStr">
        <is>
          <t>Aplicado en el Word revisado</t>
        </is>
      </c>
    </row>
    <row r="96">
      <c r="A96" s="8" t="inlineStr">
        <is>
          <t>16.3</t>
        </is>
      </c>
      <c r="B96" s="8" t="n">
        <v>223</v>
      </c>
      <c r="C96" s="8" t="inlineStr">
        <is>
          <t>Texto</t>
        </is>
      </c>
      <c r="D96" s="7" t="inlineStr">
        <is>
          <t>Plan 2027/2024</t>
        </is>
      </c>
      <c r="E96" s="7" t="inlineStr">
        <is>
          <t>Plan 2027</t>
        </is>
      </c>
      <c r="F96" s="7" t="inlineStr">
        <is>
          <t>Cada año del Plan 2013 se extingue cuando el año equivalente del Plan 2027 ya está en funcionamiento, según el Cuadro 2, de modo que el estudian…</t>
        </is>
      </c>
      <c r="G96" s="7" t="inlineStr">
        <is>
          <t>Rediseño Curricular (ajustar artículo: «el Rediseño Curricular», «del Rediseño Curricular»)</t>
        </is>
      </c>
      <c r="H96" s="9" t="inlineStr">
        <is>
          <t>Corregido</t>
        </is>
      </c>
      <c r="I96" s="10" t="inlineStr">
        <is>
          <t>Aplicado en el Word revisado</t>
        </is>
      </c>
    </row>
    <row r="97">
      <c r="A97" s="8" t="inlineStr">
        <is>
          <t>16.3</t>
        </is>
      </c>
      <c r="B97" s="8" t="n">
        <v>224</v>
      </c>
      <c r="C97" s="8" t="inlineStr">
        <is>
          <t>Texto</t>
        </is>
      </c>
      <c r="D97" s="7" t="inlineStr">
        <is>
          <t>Plan 2027/2024</t>
        </is>
      </c>
      <c r="E97" s="7" t="inlineStr">
        <is>
          <t>Plan 2027</t>
        </is>
      </c>
      <c r="F97" s="7" t="inlineStr">
        <is>
          <t>…013 después de su extinción la cursa en la asignatura equivalente del Plan 2027, con reconocimiento en su historial académico.…</t>
        </is>
      </c>
      <c r="G97" s="7" t="inlineStr">
        <is>
          <t>Rediseño Curricular (ajustar artículo: «el Rediseño Curricular», «del Rediseño Curricular»)</t>
        </is>
      </c>
      <c r="H97" s="9" t="inlineStr">
        <is>
          <t>Corregido</t>
        </is>
      </c>
      <c r="I97" s="10" t="inlineStr">
        <is>
          <t>Aplicado en el Word revisado</t>
        </is>
      </c>
    </row>
    <row r="98">
      <c r="A98" s="8" t="inlineStr">
        <is>
          <t>16.3</t>
        </is>
      </c>
      <c r="B98" s="8" t="n">
        <v>224</v>
      </c>
      <c r="C98" s="8" t="inlineStr">
        <is>
          <t>Texto</t>
        </is>
      </c>
      <c r="D98" s="7" t="inlineStr">
        <is>
          <t>Plan 2027/2024</t>
        </is>
      </c>
      <c r="E98" s="7" t="inlineStr">
        <is>
          <t>Plan 2027</t>
        </is>
      </c>
      <c r="F98" s="7" t="inlineStr">
        <is>
          <t>…de ese plan. Vencido el plazo, se gradúa mediante las modalidades del Plan 2027 o el PETAENG, conforme al punto 13.1.4.…</t>
        </is>
      </c>
      <c r="G98" s="7" t="inlineStr">
        <is>
          <t>Rediseño Curricular (ajustar artículo: «el Rediseño Curricular», «del Rediseño Curricular»)</t>
        </is>
      </c>
      <c r="H98" s="9" t="inlineStr">
        <is>
          <t>Corregido</t>
        </is>
      </c>
      <c r="I98" s="10" t="inlineStr">
        <is>
          <t>Aplicado en el Word revisado</t>
        </is>
      </c>
    </row>
  </sheetData>
  <autoFilter ref="A3:I98"/>
  <conditionalFormatting sqref="H4:H98">
    <cfRule type="expression" priority="1" dxfId="0">
      <formula>$H4="Corregido"</formula>
    </cfRule>
    <cfRule type="expression" priority="2" dxfId="1">
      <formula>$H4="En proceso"</formula>
    </cfRule>
    <cfRule type="expression" priority="3" dxfId="2">
      <formula>$H4="Pendiente"</formula>
    </cfRule>
    <cfRule type="expression" priority="4" dxfId="3">
      <formula>$H4="No aplica"</formula>
    </cfRule>
  </conditionalFormatting>
  <dataValidations count="1">
    <dataValidation sqref="H4:H98" showDropDown="0" showInputMessage="0" showErrorMessage="0" allowBlank="1" type="list">
      <formula1>"Pendiente,En proceso,Corregido,No aplica"</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228"/>
  <sheetViews>
    <sheetView zoomScale="90" workbookViewId="0">
      <pane ySplit="3" topLeftCell="A4" activePane="bottomLeft" state="frozen"/>
      <selection pane="bottomLeft" activeCell="A1" sqref="A1"/>
    </sheetView>
  </sheetViews>
  <sheetFormatPr baseColWidth="8" defaultRowHeight="15"/>
  <cols>
    <col width="9" customWidth="1" min="1" max="1"/>
    <col width="30" customWidth="1" min="2" max="2"/>
    <col width="55" customWidth="1" min="3" max="3"/>
    <col width="55" customWidth="1" min="4" max="4"/>
    <col width="40" customWidth="1" min="5" max="5"/>
    <col width="13" customWidth="1" min="6" max="6"/>
    <col width="25" customWidth="1" min="7" max="7"/>
  </cols>
  <sheetData>
    <row r="1">
      <c r="A1" s="1" t="inlineStr">
        <is>
          <t>Correcciones aplicadas en el Word revisado</t>
        </is>
      </c>
    </row>
    <row r="2">
      <c r="A2" s="2" t="inlineStr">
        <is>
          <t>Cada cambio hecho sobre el Prefinal. La columna Seguimiento sirve para dar la conformidad de la comisión.</t>
        </is>
      </c>
    </row>
    <row r="3">
      <c r="A3" s="6" t="inlineStr">
        <is>
          <t>Punto</t>
        </is>
      </c>
      <c r="B3" s="6" t="inlineStr">
        <is>
          <t>Tipo</t>
        </is>
      </c>
      <c r="C3" s="6" t="inlineStr">
        <is>
          <t>Antes</t>
        </is>
      </c>
      <c r="D3" s="6" t="inlineStr">
        <is>
          <t>Después</t>
        </is>
      </c>
      <c r="E3" s="6" t="inlineStr">
        <is>
          <t>Contexto</t>
        </is>
      </c>
      <c r="F3" s="6" t="inlineStr">
        <is>
          <t>Seguimiento</t>
        </is>
      </c>
      <c r="G3" s="6" t="inlineStr">
        <is>
          <t>Observaciones</t>
        </is>
      </c>
    </row>
    <row r="4">
      <c r="A4" s="8" t="inlineStr">
        <is>
          <t>Todos</t>
        </is>
      </c>
      <c r="B4" s="7" t="inlineStr">
        <is>
          <t>Estructura y formato</t>
        </is>
      </c>
      <c r="C4" s="7" t="inlineStr"/>
      <c r="D4" s="7" t="inlineStr">
        <is>
          <t>Se quitaron las líneas de título «Diseño Curricular / nombre del punto» al inicio de cada punto (22 pares).</t>
        </is>
      </c>
      <c r="E4" s="7" t="inlineStr"/>
      <c r="F4" s="9" t="inlineStr">
        <is>
          <t>En proceso</t>
        </is>
      </c>
      <c r="G4" s="10" t="n"/>
    </row>
    <row r="5">
      <c r="A5" s="8" t="inlineStr">
        <is>
          <t>Todos</t>
        </is>
      </c>
      <c r="B5" s="7" t="inlineStr">
        <is>
          <t>Estructura y formato</t>
        </is>
      </c>
      <c r="C5" s="7" t="inlineStr"/>
      <c r="D5" s="7" t="inlineStr">
        <is>
          <t>Se agregaron 24 páginas separadoras: puntos 1 a 16 y 4.1 a 4.8, con una página reservada para 4.5 Planes de asignatura.</t>
        </is>
      </c>
      <c r="E5" s="7" t="inlineStr"/>
      <c r="F5" s="9" t="inlineStr">
        <is>
          <t>En proceso</t>
        </is>
      </c>
      <c r="G5" s="10" t="n"/>
    </row>
    <row r="6">
      <c r="A6" s="8" t="inlineStr">
        <is>
          <t>Todos</t>
        </is>
      </c>
      <c r="B6" s="7" t="inlineStr">
        <is>
          <t>Estructura y formato</t>
        </is>
      </c>
      <c r="C6" s="7" t="inlineStr"/>
      <c r="D6" s="7" t="inlineStr">
        <is>
          <t>Se agregó el Índice (hasta el nivel 1.1.1) y el Índice de cuadros agrupado por punto, como campos de Word que se actualizan al abrir el archivo.</t>
        </is>
      </c>
      <c r="E6" s="7" t="inlineStr"/>
      <c r="F6" s="9" t="inlineStr">
        <is>
          <t>En proceso</t>
        </is>
      </c>
      <c r="G6" s="10" t="n"/>
    </row>
    <row r="7">
      <c r="A7" s="8" t="inlineStr">
        <is>
          <t>Todos</t>
        </is>
      </c>
      <c r="B7" s="7" t="inlineStr">
        <is>
          <t>Estructura y formato</t>
        </is>
      </c>
      <c r="C7" s="7" t="inlineStr"/>
      <c r="D7" s="7" t="inlineStr">
        <is>
          <t>Numeración de páginas continua: se quitó el reinicio en 1 de las 21 secciones.</t>
        </is>
      </c>
      <c r="E7" s="7" t="inlineStr"/>
      <c r="F7" s="9" t="inlineStr">
        <is>
          <t>En proceso</t>
        </is>
      </c>
      <c r="G7" s="10" t="n"/>
    </row>
    <row r="8">
      <c r="A8" s="8" t="inlineStr">
        <is>
          <t>Todos</t>
        </is>
      </c>
      <c r="B8" s="7" t="inlineStr">
        <is>
          <t>Estructura y formato</t>
        </is>
      </c>
      <c r="C8" s="7" t="inlineStr"/>
      <c r="D8" s="7" t="inlineStr">
        <is>
          <t>Los títulos numerados tienen nivel de esquema (aparecen en el panel de navegación de Word) y los títulos de cuadro usan el estilo TituloCuadro.</t>
        </is>
      </c>
      <c r="E8" s="7" t="inlineStr"/>
      <c r="F8" s="9" t="inlineStr">
        <is>
          <t>En proceso</t>
        </is>
      </c>
      <c r="G8" s="10" t="n"/>
    </row>
    <row r="9">
      <c r="A9" s="8" t="inlineStr">
        <is>
          <t>1.6</t>
        </is>
      </c>
      <c r="B9" s="7" t="inlineStr">
        <is>
          <t>Denominación del grado (Reglamento 08, Art. 4)</t>
        </is>
      </c>
      <c r="C9" s="7" t="inlineStr">
        <is>
          <t>Técnico Universitario Superior en Contabilidad General</t>
        </is>
      </c>
      <c r="D9" s="7" t="inlineStr">
        <is>
          <t>Técnico Superior en Contabilidad General</t>
        </is>
      </c>
      <c r="E9" s="7" t="inlineStr">
        <is>
          <t>La Resolución del Honorable Consejo Universitario N.º 290/2016 aprueba la denominación de Técnico Universitario Superior</t>
        </is>
      </c>
      <c r="F9" s="9" t="inlineStr">
        <is>
          <t>En proceso</t>
        </is>
      </c>
      <c r="G9" s="10" t="n"/>
    </row>
    <row r="10">
      <c r="A10" s="8" t="inlineStr">
        <is>
          <t>1.6</t>
        </is>
      </c>
      <c r="B10" s="7" t="inlineStr">
        <is>
          <t>Denominación del grado (Reglamento 08, Art. 4)</t>
        </is>
      </c>
      <c r="C10" s="7" t="inlineStr">
        <is>
          <t>Técnico Universitario Superior en Contabilidad General</t>
        </is>
      </c>
      <c r="D10" s="7" t="inlineStr">
        <is>
          <t>Técnico Superior en Contabilidad General</t>
        </is>
      </c>
      <c r="E10" s="7" t="inlineStr">
        <is>
          <t>Técnico Universitario Superior en Contabilidad General</t>
        </is>
      </c>
      <c r="F10" s="9" t="inlineStr">
        <is>
          <t>En proceso</t>
        </is>
      </c>
      <c r="G10" s="10" t="n"/>
    </row>
    <row r="11">
      <c r="A11" s="8" t="inlineStr">
        <is>
          <t>1.6</t>
        </is>
      </c>
      <c r="B11" s="7" t="inlineStr">
        <is>
          <t>Descripción del grado intermedio TUM</t>
        </is>
      </c>
      <c r="C11" s="7" t="inlineStr">
        <is>
          <t xml:space="preserve">Al concluir el segundo año de formación académica, el estudiante puede acceder además al grado de Técnico Universitario Medio en Contabilidad. La Resolución del Honorable Consejo Universitario N.º 426/2024, de 24 de julio de 2024, incluye este grado en el Cuadro General de Grados de la UMSA y establece que el requisito ineludible para la extensión del Diploma Académico y del Título Profesional de </t>
        </is>
      </c>
      <c r="D11" s="7" t="inlineStr">
        <is>
          <t>Salida Intermedia Técnico Universitario Medio: Conduce a la obtención del Diploma Académico de Técnico Universitario Medio en Contabilidad y Título en Provisión Nacional de Auxiliar Contable, de aprobación directa tras concluir y aprobar la totalidad de las dieciséis (16) asignaturas correspondientes a primero y segundo año en un periodo continuo de dos (2) gestiones académicas, en estricto cumpli</t>
        </is>
      </c>
      <c r="E11" s="7" t="inlineStr"/>
      <c r="F11" s="9" t="inlineStr">
        <is>
          <t>En proceso</t>
        </is>
      </c>
      <c r="G11" s="10" t="n"/>
    </row>
    <row r="12">
      <c r="A12" s="8" t="inlineStr">
        <is>
          <t>1.9</t>
        </is>
      </c>
      <c r="B12" s="7" t="inlineStr">
        <is>
          <t>Denominación del grado (Reglamento 08, Art. 4)</t>
        </is>
      </c>
      <c r="C12" s="7" t="inlineStr">
        <is>
          <t>Técnico Universitario Superior en Contabilidad General</t>
        </is>
      </c>
      <c r="D12" s="7" t="inlineStr">
        <is>
          <t>Técnico Superior en Contabilidad General</t>
        </is>
      </c>
      <c r="E12" s="7" t="inlineStr">
        <is>
          <t>Técnico Universitario Superior en Contabilidad General, conforme a la Resolución del Honorable Consejo Universitario N.º</t>
        </is>
      </c>
      <c r="F12" s="9" t="inlineStr">
        <is>
          <t>En proceso</t>
        </is>
      </c>
      <c r="G12" s="10" t="n"/>
    </row>
    <row r="13">
      <c r="A13" s="8" t="inlineStr">
        <is>
          <t>2</t>
        </is>
      </c>
      <c r="B13" s="7" t="inlineStr">
        <is>
          <t>Numeración de cuadros</t>
        </is>
      </c>
      <c r="C13" s="7" t="inlineStr">
        <is>
          <t>Cuadro 3. Personal administrativo de planta</t>
        </is>
      </c>
      <c r="D13" s="7" t="inlineStr">
        <is>
          <t>Cuadro 1. Personal administrativo de planta</t>
        </is>
      </c>
      <c r="E13" s="7" t="inlineStr"/>
      <c r="F13" s="9" t="inlineStr">
        <is>
          <t>En proceso</t>
        </is>
      </c>
      <c r="G13" s="10" t="n"/>
    </row>
    <row r="14">
      <c r="A14" s="8" t="inlineStr">
        <is>
          <t>2</t>
        </is>
      </c>
      <c r="B14" s="7" t="inlineStr">
        <is>
          <t>Numeración de cuadros</t>
        </is>
      </c>
      <c r="C14" s="7" t="inlineStr">
        <is>
          <t>Cuadro 4. Personal administrativo a contrato</t>
        </is>
      </c>
      <c r="D14" s="7" t="inlineStr">
        <is>
          <t>Cuadro 2. Personal administrativo a contrato</t>
        </is>
      </c>
      <c r="E14" s="7" t="inlineStr"/>
      <c r="F14" s="9" t="inlineStr">
        <is>
          <t>En proceso</t>
        </is>
      </c>
      <c r="G14" s="10" t="n"/>
    </row>
    <row r="15">
      <c r="A15" s="8" t="inlineStr">
        <is>
          <t>2</t>
        </is>
      </c>
      <c r="B15" s="7" t="inlineStr">
        <is>
          <t>Numeración de cuadros</t>
        </is>
      </c>
      <c r="C15" s="7" t="inlineStr">
        <is>
          <t>Cuadro 5. Personal de las unidades dependientes de la Carrera</t>
        </is>
      </c>
      <c r="D15" s="7" t="inlineStr">
        <is>
          <t>Cuadro 3. Personal de las unidades dependientes de la Carrera</t>
        </is>
      </c>
      <c r="E15" s="7" t="inlineStr"/>
      <c r="F15" s="9" t="inlineStr">
        <is>
          <t>En proceso</t>
        </is>
      </c>
      <c r="G15" s="10" t="n"/>
    </row>
    <row r="16">
      <c r="A16" s="8" t="inlineStr">
        <is>
          <t>2</t>
        </is>
      </c>
      <c r="B16" s="7" t="inlineStr">
        <is>
          <t>Numeración de cuadros</t>
        </is>
      </c>
      <c r="C16" s="7" t="inlineStr">
        <is>
          <t>Cuadro 6. Docentes por categoría</t>
        </is>
      </c>
      <c r="D16" s="7" t="inlineStr">
        <is>
          <t>Cuadro 4. Docentes por categoría</t>
        </is>
      </c>
      <c r="E16" s="7" t="inlineStr"/>
      <c r="F16" s="9" t="inlineStr">
        <is>
          <t>En proceso</t>
        </is>
      </c>
      <c r="G16" s="10" t="n"/>
    </row>
    <row r="17">
      <c r="A17" s="8" t="inlineStr">
        <is>
          <t>2</t>
        </is>
      </c>
      <c r="B17" s="7" t="inlineStr">
        <is>
          <t>Numeración de cuadros</t>
        </is>
      </c>
      <c r="C17" s="7" t="inlineStr">
        <is>
          <t>Cuadro 7. Carga horaria de los docentes por áreas, expresada en cantidad de docentes</t>
        </is>
      </c>
      <c r="D17" s="7" t="inlineStr">
        <is>
          <t>Cuadro 5. Carga horaria de los docentes por áreas, expresada en cantidad de docentes</t>
        </is>
      </c>
      <c r="E17" s="7" t="inlineStr"/>
      <c r="F17" s="9" t="inlineStr">
        <is>
          <t>En proceso</t>
        </is>
      </c>
      <c r="G17" s="10" t="n"/>
    </row>
    <row r="18">
      <c r="A18" s="8" t="inlineStr">
        <is>
          <t>2</t>
        </is>
      </c>
      <c r="B18" s="7" t="inlineStr">
        <is>
          <t>Numeración de cuadros</t>
        </is>
      </c>
      <c r="C18" s="7" t="inlineStr">
        <is>
          <t>Cuadro 8. Docentes sin duplicidad entre áreas</t>
        </is>
      </c>
      <c r="D18" s="7" t="inlineStr">
        <is>
          <t>Cuadro 6. Docentes sin duplicidad entre áreas</t>
        </is>
      </c>
      <c r="E18" s="7" t="inlineStr"/>
      <c r="F18" s="9" t="inlineStr">
        <is>
          <t>En proceso</t>
        </is>
      </c>
      <c r="G18" s="10" t="n"/>
    </row>
    <row r="19">
      <c r="A19" s="8" t="inlineStr">
        <is>
          <t>2</t>
        </is>
      </c>
      <c r="B19" s="7" t="inlineStr">
        <is>
          <t>Numeración de cuadros</t>
        </is>
      </c>
      <c r="C19" s="7" t="inlineStr">
        <is>
          <t>Sumatoria total según el Cuadro 7</t>
        </is>
      </c>
      <c r="D19" s="7" t="inlineStr">
        <is>
          <t>Sumatoria total según el Cuadro 5</t>
        </is>
      </c>
      <c r="E19" s="7" t="inlineStr"/>
      <c r="F19" s="9" t="inlineStr">
        <is>
          <t>En proceso</t>
        </is>
      </c>
      <c r="G19" s="10" t="n"/>
    </row>
    <row r="20">
      <c r="A20" s="8" t="inlineStr">
        <is>
          <t>2</t>
        </is>
      </c>
      <c r="B20" s="7" t="inlineStr">
        <is>
          <t>Numeración de cuadros</t>
        </is>
      </c>
      <c r="C20" s="7" t="inlineStr">
        <is>
          <t>Los Cuadros 7 y 8 permiten establecer lo siguiente:</t>
        </is>
      </c>
      <c r="D20" s="7" t="inlineStr">
        <is>
          <t>Los Cuadros 5 y 6 permiten establecer lo siguiente:</t>
        </is>
      </c>
      <c r="E20" s="7" t="inlineStr"/>
      <c r="F20" s="9" t="inlineStr">
        <is>
          <t>En proceso</t>
        </is>
      </c>
      <c r="G20" s="10" t="n"/>
    </row>
    <row r="21">
      <c r="A21" s="8" t="inlineStr">
        <is>
          <t>2</t>
        </is>
      </c>
      <c r="B21" s="7" t="inlineStr">
        <is>
          <t>Numeración de cuadros</t>
        </is>
      </c>
      <c r="C21" s="7" t="inlineStr">
        <is>
          <t>Cuadro 9. Docentes por áreas y categoría, expresado en cantidad de asignaturas</t>
        </is>
      </c>
      <c r="D21" s="7" t="inlineStr">
        <is>
          <t>Cuadro 7. Docentes por áreas y categoría, expresado en cantidad de asignaturas</t>
        </is>
      </c>
      <c r="E21" s="7" t="inlineStr"/>
      <c r="F21" s="9" t="inlineStr">
        <is>
          <t>En proceso</t>
        </is>
      </c>
      <c r="G21" s="10" t="n"/>
    </row>
    <row r="22">
      <c r="A22" s="8" t="inlineStr">
        <is>
          <t>2</t>
        </is>
      </c>
      <c r="B22" s="7" t="inlineStr">
        <is>
          <t>Numeración de cuadros</t>
        </is>
      </c>
      <c r="C22" s="7" t="inlineStr">
        <is>
          <t>Cuadro 10. Docentes por áreas y categoría, expresado en porcentaje</t>
        </is>
      </c>
      <c r="D22" s="7" t="inlineStr">
        <is>
          <t>Cuadro 8. Docentes por áreas y categoría, expresado en porcentaje</t>
        </is>
      </c>
      <c r="E22" s="7" t="inlineStr"/>
      <c r="F22" s="9" t="inlineStr">
        <is>
          <t>En proceso</t>
        </is>
      </c>
      <c r="G22" s="10" t="n"/>
    </row>
    <row r="23">
      <c r="A23" s="8" t="inlineStr">
        <is>
          <t>2</t>
        </is>
      </c>
      <c r="B23" s="7" t="inlineStr">
        <is>
          <t>Numeración de cuadros</t>
        </is>
      </c>
      <c r="C23" s="7" t="inlineStr">
        <is>
          <t>Fuente: elaboración propia con base en el Cuadro 9.</t>
        </is>
      </c>
      <c r="D23" s="7" t="inlineStr">
        <is>
          <t>Fuente: elaboración propia con base en el Cuadro 7.</t>
        </is>
      </c>
      <c r="E23" s="7" t="inlineStr"/>
      <c r="F23" s="9" t="inlineStr">
        <is>
          <t>En proceso</t>
        </is>
      </c>
      <c r="G23" s="10" t="n"/>
    </row>
    <row r="24">
      <c r="A24" s="8" t="inlineStr">
        <is>
          <t>2</t>
        </is>
      </c>
      <c r="B24" s="7" t="inlineStr">
        <is>
          <t>Numeración de cuadros</t>
        </is>
      </c>
      <c r="C24" s="7" t="inlineStr">
        <is>
          <t>Según los Cuadros 9 y 10, existen 85 designaciones de docentes titulares, equivalentes al 46,45 %, y 98 de docentes inte</t>
        </is>
      </c>
      <c r="D24" s="7" t="inlineStr">
        <is>
          <t>Según los Cuadros 7 y 8, existen 85 designaciones de docentes titulares, equivalentes al 46,45 %, y 98 de docentes inter</t>
        </is>
      </c>
      <c r="E24" s="7" t="inlineStr"/>
      <c r="F24" s="9" t="inlineStr">
        <is>
          <t>En proceso</t>
        </is>
      </c>
      <c r="G24" s="10" t="n"/>
    </row>
    <row r="25">
      <c r="A25" s="8" t="inlineStr">
        <is>
          <t>2</t>
        </is>
      </c>
      <c r="B25" s="7" t="inlineStr">
        <is>
          <t>Numeración de cuadros</t>
        </is>
      </c>
      <c r="C25" s="7" t="inlineStr">
        <is>
          <t>Cuadro 11. Estudiantes matriculados e inscritos</t>
        </is>
      </c>
      <c r="D25" s="7" t="inlineStr">
        <is>
          <t>Cuadro 9. Estudiantes matriculados e inscritos</t>
        </is>
      </c>
      <c r="E25" s="7" t="inlineStr"/>
      <c r="F25" s="9" t="inlineStr">
        <is>
          <t>En proceso</t>
        </is>
      </c>
      <c r="G25" s="10" t="n"/>
    </row>
    <row r="26">
      <c r="A26" s="8" t="inlineStr">
        <is>
          <t>2</t>
        </is>
      </c>
      <c r="B26" s="7" t="inlineStr">
        <is>
          <t>Numeración de cuadros</t>
        </is>
      </c>
      <c r="C26" s="7" t="inlineStr">
        <is>
          <t>Del Cuadro 11 se establece lo siguiente:</t>
        </is>
      </c>
      <c r="D26" s="7" t="inlineStr">
        <is>
          <t>Del Cuadro 9 se establece lo siguiente:</t>
        </is>
      </c>
      <c r="E26" s="7" t="inlineStr"/>
      <c r="F26" s="9" t="inlineStr">
        <is>
          <t>En proceso</t>
        </is>
      </c>
      <c r="G26" s="10" t="n"/>
    </row>
    <row r="27">
      <c r="A27" s="8" t="inlineStr">
        <is>
          <t>2</t>
        </is>
      </c>
      <c r="B27" s="7" t="inlineStr">
        <is>
          <t>Numeración de cuadros</t>
        </is>
      </c>
      <c r="C27" s="7" t="inlineStr">
        <is>
          <t>Las cifras de inscritos del Cuadro 11 corresponden a la sede de La Paz. Si se suman los 104 estudiantes de las sedes des</t>
        </is>
      </c>
      <c r="D27" s="7" t="inlineStr">
        <is>
          <t>Las cifras de inscritos del Cuadro 9 corresponden a la sede de La Paz. Si se suman los 104 estudiantes de las sedes desc</t>
        </is>
      </c>
      <c r="E27" s="7" t="inlineStr"/>
      <c r="F27" s="9" t="inlineStr">
        <is>
          <t>En proceso</t>
        </is>
      </c>
      <c r="G27" s="10" t="n"/>
    </row>
    <row r="28">
      <c r="A28" s="8" t="inlineStr">
        <is>
          <t>2</t>
        </is>
      </c>
      <c r="B28" s="7" t="inlineStr">
        <is>
          <t>Numeración de cuadros</t>
        </is>
      </c>
      <c r="C28" s="7" t="inlineStr">
        <is>
          <t>Cuadro 12. Estudiantes titulados por modalidad de graduación</t>
        </is>
      </c>
      <c r="D28" s="7" t="inlineStr">
        <is>
          <t>Cuadro 10. Estudiantes titulados por modalidad de graduación</t>
        </is>
      </c>
      <c r="E28" s="7" t="inlineStr"/>
      <c r="F28" s="9" t="inlineStr">
        <is>
          <t>En proceso</t>
        </is>
      </c>
      <c r="G28" s="10" t="n"/>
    </row>
    <row r="29">
      <c r="A29" s="8" t="inlineStr">
        <is>
          <t>2</t>
        </is>
      </c>
      <c r="B29" s="7" t="inlineStr">
        <is>
          <t>Numeración de cuadros</t>
        </is>
      </c>
      <c r="C29" s="7" t="inlineStr">
        <is>
          <t>Según el Cuadro 12, la mayoría de los estudiantes se titula mediante el examen de grado, que en el periodo 2021 a 2025 r</t>
        </is>
      </c>
      <c r="D29" s="7" t="inlineStr">
        <is>
          <t>Según el Cuadro 10, la mayoría de los estudiantes se titula mediante el examen de grado, que en el periodo 2021 a 2025 r</t>
        </is>
      </c>
      <c r="E29" s="7" t="inlineStr"/>
      <c r="F29" s="9" t="inlineStr">
        <is>
          <t>En proceso</t>
        </is>
      </c>
      <c r="G29" s="10" t="n"/>
    </row>
    <row r="30">
      <c r="A30" s="8" t="inlineStr">
        <is>
          <t>2</t>
        </is>
      </c>
      <c r="B30" s="7" t="inlineStr">
        <is>
          <t>Numeración de cuadros</t>
        </is>
      </c>
      <c r="C30" s="7" t="inlineStr">
        <is>
          <t>Cuadro 13. Estudiantes inscritos por asignatura y paralelo</t>
        </is>
      </c>
      <c r="D30" s="7" t="inlineStr">
        <is>
          <t>Cuadro 11. Estudiantes inscritos por asignatura y paralelo</t>
        </is>
      </c>
      <c r="E30" s="7" t="inlineStr"/>
      <c r="F30" s="9" t="inlineStr">
        <is>
          <t>En proceso</t>
        </is>
      </c>
      <c r="G30" s="10" t="n"/>
    </row>
    <row r="31">
      <c r="A31" s="8" t="inlineStr">
        <is>
          <t>2</t>
        </is>
      </c>
      <c r="B31" s="7" t="inlineStr">
        <is>
          <t>Numeración de cuadros</t>
        </is>
      </c>
      <c r="C31" s="7" t="inlineStr">
        <is>
          <t>Según el Cuadro 13, el promedio de estudiantes por paralelo se mantiene entre 104 y 109 en el periodo 2023 a 2026, una c</t>
        </is>
      </c>
      <c r="D31" s="7" t="inlineStr">
        <is>
          <t>Según el Cuadro 11, el promedio de estudiantes por paralelo se mantiene entre 104 y 109 en el periodo 2023 a 2026, una c</t>
        </is>
      </c>
      <c r="E31" s="7" t="inlineStr"/>
      <c r="F31" s="9" t="inlineStr">
        <is>
          <t>En proceso</t>
        </is>
      </c>
      <c r="G31" s="10" t="n"/>
    </row>
    <row r="32">
      <c r="A32" s="8" t="inlineStr">
        <is>
          <t>2.1</t>
        </is>
      </c>
      <c r="B32" s="7" t="inlineStr">
        <is>
          <t>Denominación del grado (Reglamento 08, Art. 4)</t>
        </is>
      </c>
      <c r="C32" s="7" t="inlineStr">
        <is>
          <t>Técnico Universitario Superior en Contabilidad General</t>
        </is>
      </c>
      <c r="D32" s="7" t="inlineStr">
        <is>
          <t>Técnico Superior en Contabilidad General</t>
        </is>
      </c>
      <c r="E32" s="7" t="inlineStr">
        <is>
          <t>Técnico Universitario Superior en Contabilidad General y título en provisión nacional de Contador General; Técnico Unive</t>
        </is>
      </c>
      <c r="F32" s="9" t="inlineStr">
        <is>
          <t>En proceso</t>
        </is>
      </c>
      <c r="G32" s="10" t="n"/>
    </row>
    <row r="33">
      <c r="A33" s="8" t="inlineStr">
        <is>
          <t>2.1</t>
        </is>
      </c>
      <c r="B33" s="7" t="inlineStr">
        <is>
          <t>Ortografía</t>
        </is>
      </c>
      <c r="C33" s="7" t="inlineStr">
        <is>
          <t>titulo en provisión</t>
        </is>
      </c>
      <c r="D33" s="7" t="inlineStr">
        <is>
          <t>título en provisión</t>
        </is>
      </c>
      <c r="E33" s="7" t="inlineStr">
        <is>
          <t>Técnico Superior en Contabilidad General y título en provisión nacional de Contador General; Técnico Universitario Medio</t>
        </is>
      </c>
      <c r="F33" s="9" t="inlineStr">
        <is>
          <t>En proceso</t>
        </is>
      </c>
      <c r="G33" s="10" t="n"/>
    </row>
    <row r="34">
      <c r="A34" s="8" t="inlineStr">
        <is>
          <t>2.1</t>
        </is>
      </c>
      <c r="B34" s="7" t="inlineStr">
        <is>
          <t>Datos de matrícula, gestión 2026</t>
        </is>
      </c>
      <c r="C34" s="7" t="inlineStr">
        <is>
          <t>Estudiantes matriculados, gestión 2025</t>
        </is>
      </c>
      <c r="D34" s="7" t="inlineStr">
        <is>
          <t>Estudiantes matriculados, gestión 2026</t>
        </is>
      </c>
      <c r="E34" s="7" t="inlineStr"/>
      <c r="F34" s="9" t="inlineStr">
        <is>
          <t>En proceso</t>
        </is>
      </c>
      <c r="G34" s="10" t="n"/>
    </row>
    <row r="35">
      <c r="A35" s="8" t="inlineStr">
        <is>
          <t>2.1</t>
        </is>
      </c>
      <c r="B35" s="7" t="inlineStr">
        <is>
          <t>Datos de matrícula, gestión 2026</t>
        </is>
      </c>
      <c r="C35" s="7" t="inlineStr">
        <is>
          <t>4.283</t>
        </is>
      </c>
      <c r="D35" s="7" t="inlineStr">
        <is>
          <t>4.296: 3.743 antiguos y 553 nuevos, en la sede de La Paz</t>
        </is>
      </c>
      <c r="E35" s="7" t="inlineStr"/>
      <c r="F35" s="9" t="inlineStr">
        <is>
          <t>En proceso</t>
        </is>
      </c>
      <c r="G35" s="10" t="n"/>
    </row>
    <row r="36">
      <c r="A36" s="8" t="inlineStr">
        <is>
          <t>2.1</t>
        </is>
      </c>
      <c r="B36" s="7" t="inlineStr">
        <is>
          <t>Datos de matrícula, gestión 2026</t>
        </is>
      </c>
      <c r="C36" s="7" t="inlineStr">
        <is>
          <t>Estudiantes inscritos, gestión 2025</t>
        </is>
      </c>
      <c r="D36" s="7" t="inlineStr">
        <is>
          <t>Estudiantes inscritos, gestión 2026</t>
        </is>
      </c>
      <c r="E36" s="7" t="inlineStr"/>
      <c r="F36" s="9" t="inlineStr">
        <is>
          <t>En proceso</t>
        </is>
      </c>
      <c r="G36" s="10" t="n"/>
    </row>
    <row r="37">
      <c r="A37" s="8" t="inlineStr">
        <is>
          <t>2.1</t>
        </is>
      </c>
      <c r="B37" s="7" t="inlineStr">
        <is>
          <t>Datos de matrícula, gestión 2026</t>
        </is>
      </c>
      <c r="C37" s="7" t="inlineStr">
        <is>
          <t>3.247: 3.143 en la sede de La Paz y 104 en las sedes desconcentradas</t>
        </is>
      </c>
      <c r="D37" s="7" t="inlineStr">
        <is>
          <t>3.116 en la sede de La Paz; las sedes desconcentradas registraron 104 inscritos en 2025</t>
        </is>
      </c>
      <c r="E37" s="7" t="inlineStr"/>
      <c r="F37" s="9" t="inlineStr">
        <is>
          <t>En proceso</t>
        </is>
      </c>
      <c r="G37" s="10" t="n"/>
    </row>
    <row r="38">
      <c r="A38" s="8" t="inlineStr">
        <is>
          <t>2.3</t>
        </is>
      </c>
      <c r="B38" s="7" t="inlineStr">
        <is>
          <t>Ortografía</t>
        </is>
      </c>
      <c r="C38" s="7" t="inlineStr">
        <is>
          <t>Contaduría publica</t>
        </is>
      </c>
      <c r="D38" s="7" t="inlineStr">
        <is>
          <t>Contaduría Pública</t>
        </is>
      </c>
      <c r="E38" s="7" t="inlineStr">
        <is>
          <t xml:space="preserve">El Plan Estratégico Institucional de la Carrera de Contaduría publica forma parte del plan estratégico Institucional de </t>
        </is>
      </c>
      <c r="F38" s="9" t="inlineStr">
        <is>
          <t>En proceso</t>
        </is>
      </c>
      <c r="G38" s="10" t="n"/>
    </row>
    <row r="39">
      <c r="A39" s="8" t="inlineStr">
        <is>
          <t>2.6</t>
        </is>
      </c>
      <c r="B39" s="7" t="inlineStr">
        <is>
          <t>Ortografía</t>
        </is>
      </c>
      <c r="C39" s="7" t="inlineStr">
        <is>
          <t>kardixtas</t>
        </is>
      </c>
      <c r="D39" s="7" t="inlineStr">
        <is>
          <t>kardexistas</t>
        </is>
      </c>
      <c r="E39" s="7" t="inlineStr">
        <is>
          <t>Apoyo académico y administrativo: Encargado de Kárdex, con una encargada de Kárdex I y dos kardixtas académicos; dos enc</t>
        </is>
      </c>
      <c r="F39" s="9" t="inlineStr">
        <is>
          <t>En proceso</t>
        </is>
      </c>
      <c r="G39" s="10" t="n"/>
    </row>
    <row r="40">
      <c r="A40" s="8" t="inlineStr">
        <is>
          <t>2.6.1</t>
        </is>
      </c>
      <c r="B40" s="7" t="inlineStr">
        <is>
          <t>Datos de matrícula, gestión 2026</t>
        </is>
      </c>
      <c r="C40" s="7" t="inlineStr">
        <is>
          <t>Con una población de 4.283 estudiantes matriculados y 3.143 inscritos en la gestión 2025, el personal administrativo disponible permite atender la demanda académica y administrativa, aunque esa capacidad se sostiene principalmente con personal contratado. El funcionamiento adecuado de la Carrera dep</t>
        </is>
      </c>
      <c r="D40" s="7" t="inlineStr">
        <is>
          <t>Con una población de 4.296 estudiantes matriculados y 3.116 inscritos en la gestión 2026, el personal administrativo disponible permite atender la demanda académica y administrativa, aunque esa capacidad se sostiene principalmente con personal contratado. El funcionamiento adecuado de la Carrera dep</t>
        </is>
      </c>
      <c r="E40" s="7" t="inlineStr"/>
      <c r="F40" s="9" t="inlineStr">
        <is>
          <t>En proceso</t>
        </is>
      </c>
      <c r="G40" s="10" t="n"/>
    </row>
    <row r="41">
      <c r="A41" s="8" t="inlineStr">
        <is>
          <t>2.7.1</t>
        </is>
      </c>
      <c r="B41" s="7" t="inlineStr">
        <is>
          <t>Ortografía</t>
        </is>
      </c>
      <c r="C41" s="7" t="inlineStr">
        <is>
          <t>Auditoria</t>
        </is>
      </c>
      <c r="D41" s="7" t="inlineStr">
        <is>
          <t>Auditoría</t>
        </is>
      </c>
      <c r="E41" s="7" t="inlineStr">
        <is>
          <t>Área Contable y de Auditoria</t>
        </is>
      </c>
      <c r="F41" s="9" t="inlineStr">
        <is>
          <t>En proceso</t>
        </is>
      </c>
      <c r="G41" s="10" t="n"/>
    </row>
    <row r="42">
      <c r="A42" s="8" t="inlineStr">
        <is>
          <t>2.7.1</t>
        </is>
      </c>
      <c r="B42" s="7" t="inlineStr">
        <is>
          <t>Ortografía</t>
        </is>
      </c>
      <c r="C42" s="7" t="inlineStr">
        <is>
          <t>Auditoria</t>
        </is>
      </c>
      <c r="D42" s="7" t="inlineStr">
        <is>
          <t>Auditoría</t>
        </is>
      </c>
      <c r="E42" s="7" t="inlineStr">
        <is>
          <t>Total Área Contable y de Auditoria</t>
        </is>
      </c>
      <c r="F42" s="9" t="inlineStr">
        <is>
          <t>En proceso</t>
        </is>
      </c>
      <c r="G42" s="10" t="n"/>
    </row>
    <row r="43">
      <c r="A43" s="8" t="inlineStr">
        <is>
          <t>2.7.1</t>
        </is>
      </c>
      <c r="B43" s="7" t="inlineStr">
        <is>
          <t>Ortografía</t>
        </is>
      </c>
      <c r="C43" s="7" t="inlineStr">
        <is>
          <t>auditoria</t>
        </is>
      </c>
      <c r="D43" s="7" t="inlineStr">
        <is>
          <t>auditoría</t>
        </is>
      </c>
      <c r="E43" s="7" t="inlineStr">
        <is>
          <t>El área contable y de auditoria concentran 73 cargas horarias y el área contextual 35, lo que refleja la distribución de</t>
        </is>
      </c>
      <c r="F43" s="9" t="inlineStr">
        <is>
          <t>En proceso</t>
        </is>
      </c>
      <c r="G43" s="10" t="n"/>
    </row>
    <row r="44">
      <c r="A44" s="8" t="inlineStr">
        <is>
          <t>2.7.1</t>
        </is>
      </c>
      <c r="B44" s="7" t="inlineStr">
        <is>
          <t>Ortografía</t>
        </is>
      </c>
      <c r="C44" s="7" t="inlineStr">
        <is>
          <t>Auditoria</t>
        </is>
      </c>
      <c r="D44" s="7" t="inlineStr">
        <is>
          <t>Auditoría</t>
        </is>
      </c>
      <c r="E44" s="7" t="inlineStr">
        <is>
          <t>Área Contable y de Auditoria</t>
        </is>
      </c>
      <c r="F44" s="9" t="inlineStr">
        <is>
          <t>En proceso</t>
        </is>
      </c>
      <c r="G44" s="10" t="n"/>
    </row>
    <row r="45">
      <c r="A45" s="8" t="inlineStr">
        <is>
          <t>2.7.1</t>
        </is>
      </c>
      <c r="B45" s="7" t="inlineStr">
        <is>
          <t>Ortografía</t>
        </is>
      </c>
      <c r="C45" s="7" t="inlineStr">
        <is>
          <t>Auditoria</t>
        </is>
      </c>
      <c r="D45" s="7" t="inlineStr">
        <is>
          <t>Auditoría</t>
        </is>
      </c>
      <c r="E45" s="7" t="inlineStr">
        <is>
          <t>Total Área Contable y de Auditoria</t>
        </is>
      </c>
      <c r="F45" s="9" t="inlineStr">
        <is>
          <t>En proceso</t>
        </is>
      </c>
      <c r="G45" s="10" t="n"/>
    </row>
    <row r="46">
      <c r="A46" s="8" t="inlineStr">
        <is>
          <t>2.7.1</t>
        </is>
      </c>
      <c r="B46" s="7" t="inlineStr">
        <is>
          <t>Ortografía</t>
        </is>
      </c>
      <c r="C46" s="7" t="inlineStr">
        <is>
          <t>Auditoria</t>
        </is>
      </c>
      <c r="D46" s="7" t="inlineStr">
        <is>
          <t>Auditoría</t>
        </is>
      </c>
      <c r="E46" s="7" t="inlineStr">
        <is>
          <t>Área Contable y de Auditoria</t>
        </is>
      </c>
      <c r="F46" s="9" t="inlineStr">
        <is>
          <t>En proceso</t>
        </is>
      </c>
      <c r="G46" s="10" t="n"/>
    </row>
    <row r="47">
      <c r="A47" s="8" t="inlineStr">
        <is>
          <t>2.7.1</t>
        </is>
      </c>
      <c r="B47" s="7" t="inlineStr">
        <is>
          <t>Ortografía</t>
        </is>
      </c>
      <c r="C47" s="7" t="inlineStr">
        <is>
          <t>Auditoria</t>
        </is>
      </c>
      <c r="D47" s="7" t="inlineStr">
        <is>
          <t>Auditoría</t>
        </is>
      </c>
      <c r="E47" s="7" t="inlineStr">
        <is>
          <t>Total Área Contable y de Auditoria</t>
        </is>
      </c>
      <c r="F47" s="9" t="inlineStr">
        <is>
          <t>En proceso</t>
        </is>
      </c>
      <c r="G47" s="10" t="n"/>
    </row>
    <row r="48">
      <c r="A48" s="8" t="inlineStr">
        <is>
          <t>2.7.1</t>
        </is>
      </c>
      <c r="B48" s="7" t="inlineStr">
        <is>
          <t>Ortografía</t>
        </is>
      </c>
      <c r="C48" s="7" t="inlineStr">
        <is>
          <t>auditoria</t>
        </is>
      </c>
      <c r="D48" s="7" t="inlineStr">
        <is>
          <t>auditoría</t>
        </is>
      </c>
      <c r="E48" s="7" t="inlineStr">
        <is>
          <t>Como apoyo a la docencia, durante las gestiones 2023 a 2026 la Carrera contó con una asignación constante de 79 ítems de</t>
        </is>
      </c>
      <c r="F48" s="9" t="inlineStr">
        <is>
          <t>En proceso</t>
        </is>
      </c>
      <c r="G48" s="10" t="n"/>
    </row>
    <row r="49">
      <c r="A49" s="8" t="inlineStr">
        <is>
          <t>2.7.1</t>
        </is>
      </c>
      <c r="B49" s="7" t="inlineStr">
        <is>
          <t>Término: Área Contextual</t>
        </is>
      </c>
      <c r="C49" s="7" t="inlineStr">
        <is>
          <t>El área contable y de auditoría concentran 73 cargas horarias y el área contextual 35, lo que refleja la distribución de las asignaturas por áreas.</t>
        </is>
      </c>
      <c r="D49" s="7" t="inlineStr">
        <is>
          <t>El área contable y de auditoría concentran 73 cargas horarias y el Área Contextual 35, lo que refleja la distribución de las asignaturas por áreas.</t>
        </is>
      </c>
      <c r="E49" s="7" t="inlineStr"/>
      <c r="F49" s="9" t="inlineStr">
        <is>
          <t>En proceso</t>
        </is>
      </c>
      <c r="G49" s="10" t="n"/>
    </row>
    <row r="50">
      <c r="A50" s="8" t="inlineStr">
        <is>
          <t>2.7.1</t>
        </is>
      </c>
      <c r="B50" s="7" t="inlineStr">
        <is>
          <t>Término: Área Contextual</t>
        </is>
      </c>
      <c r="C50" s="7" t="inlineStr">
        <is>
          <t>Como apoyo a la docencia, durante las gestiones 2023 a 2026 la Carrera contó con una asignación constante de 79 ítems de auxiliares de docencia, equivalentes a 1.580 horas de apoyo académico por gestión. Estas auxiliaturas priorizan las asignaturas del área contable y de auditoría; sin embargo, es n</t>
        </is>
      </c>
      <c r="D50" s="7" t="inlineStr">
        <is>
          <t>Como apoyo a la docencia, durante las gestiones 2023 a 2026 la Carrera contó con una asignación constante de 79 ítems de auxiliares de docencia, equivalentes a 1.580 horas de apoyo académico por gestión. Estas auxiliaturas priorizan las asignaturas del área contable y de auditoría; sin embargo, es n</t>
        </is>
      </c>
      <c r="E50" s="7" t="inlineStr"/>
      <c r="F50" s="9" t="inlineStr">
        <is>
          <t>En proceso</t>
        </is>
      </c>
      <c r="G50" s="10" t="n"/>
    </row>
    <row r="51">
      <c r="A51" s="8" t="inlineStr">
        <is>
          <t>2.7.2</t>
        </is>
      </c>
      <c r="B51" s="7" t="inlineStr">
        <is>
          <t>Datos de matrícula, gestión 2026</t>
        </is>
      </c>
      <c r="C51" s="7" t="inlineStr"/>
      <c r="D51" s="7" t="inlineStr">
        <is>
          <t>Columna 2026 agregada: 2026 | 4.296 | 3.116 | 1.180</t>
        </is>
      </c>
      <c r="E51" s="7" t="inlineStr"/>
      <c r="F51" s="9" t="inlineStr">
        <is>
          <t>En proceso</t>
        </is>
      </c>
      <c r="G51" s="10" t="n"/>
    </row>
    <row r="52">
      <c r="A52" s="8" t="inlineStr">
        <is>
          <t>2.7.2</t>
        </is>
      </c>
      <c r="B52" s="7" t="inlineStr">
        <is>
          <t>Datos de matrícula, gestión 2026</t>
        </is>
      </c>
      <c r="C52" s="7" t="inlineStr">
        <is>
          <t>Los estudiantes matriculados disminuyeron de 4.705 en 2021, año base, a 4.283 en 2025, lo que representa una reducción del 8,97 %.</t>
        </is>
      </c>
      <c r="D52" s="7" t="inlineStr">
        <is>
          <t>Los estudiantes matriculados disminuyeron de 4.705 en 2021, año base, a 4.296 en 2026, lo que representa una reducción del 8,69 %.</t>
        </is>
      </c>
      <c r="E52" s="7" t="inlineStr"/>
      <c r="F52" s="9" t="inlineStr">
        <is>
          <t>En proceso</t>
        </is>
      </c>
      <c r="G52" s="10" t="n"/>
    </row>
    <row r="53">
      <c r="A53" s="8" t="inlineStr">
        <is>
          <t>2.7.2</t>
        </is>
      </c>
      <c r="B53" s="7" t="inlineStr">
        <is>
          <t>Datos de matrícula, gestión 2026</t>
        </is>
      </c>
      <c r="C53" s="7" t="inlineStr">
        <is>
          <t>Los estudiantes inscritos se mantuvieron estables en el mismo periodo, con una variación de 3.152 a 3.143, equivalente a una disminución del 0,29 %.</t>
        </is>
      </c>
      <c r="D53" s="7" t="inlineStr">
        <is>
          <t>Los estudiantes inscritos se mantuvieron estables en el mismo periodo, con una variación de 3.152 a 3.116, equivalente a una disminución del 1,14 %.</t>
        </is>
      </c>
      <c r="E53" s="7" t="inlineStr"/>
      <c r="F53" s="9" t="inlineStr">
        <is>
          <t>En proceso</t>
        </is>
      </c>
      <c r="G53" s="10" t="n"/>
    </row>
    <row r="54">
      <c r="A54" s="8" t="inlineStr">
        <is>
          <t>2.7.2</t>
        </is>
      </c>
      <c r="B54" s="7" t="inlineStr">
        <is>
          <t>Datos de matrícula, gestión 2026</t>
        </is>
      </c>
      <c r="C54" s="7" t="inlineStr">
        <is>
          <t>La diferencia corresponde a estudiantes que obtuvieron su matrícula universitaria pero no se inscribieron en ninguna asignatura durante el año. Esta cifra se redujo de 1.553 en 2021 a 1.140 en 2025, que representan el 26,62 % del total de matriculados.</t>
        </is>
      </c>
      <c r="D54" s="7" t="inlineStr">
        <is>
          <t>La diferencia corresponde a estudiantes que obtuvieron su matrícula universitaria pero no se inscribieron en ninguna asignatura durante el año. Esta cifra se redujo de 1.553 en 2021 a 1.180 en 2026, aunque aumentó respecto de los 1.140 de 2025, y representa el 27,47 % del total de matriculados.</t>
        </is>
      </c>
      <c r="E54" s="7" t="inlineStr"/>
      <c r="F54" s="9" t="inlineStr">
        <is>
          <t>En proceso</t>
        </is>
      </c>
      <c r="G54" s="10" t="n"/>
    </row>
    <row r="55">
      <c r="A55" s="8" t="inlineStr">
        <is>
          <t>2.7.2</t>
        </is>
      </c>
      <c r="B55" s="7" t="inlineStr">
        <is>
          <t>Datos de matrícula, gestión 2026</t>
        </is>
      </c>
      <c r="C55" s="7" t="inlineStr">
        <is>
          <t>Las cifras de inscritos del Cuadro 9 corresponden a la sede de La Paz. Si se suman los 104 estudiantes de las sedes desconcentradas, la Carrera registró 3.247 inscritos en la gestión 2025, de los cuales 1.830 son mujeres, el 56 %, y 1.417 varones, el 44 %. Además, 1.589 estudiantes, el 48,9 %, reali</t>
        </is>
      </c>
      <c r="D55" s="7" t="inlineStr">
        <is>
          <t>Las cifras de inscritos del Cuadro 9 corresponden a la sede de La Paz. Si se suman los 104 estudiantes de las sedes desconcentradas, la Carrera registró 3.247 inscritos en la gestión 2025, de los cuales 1.830 son mujeres, el 56 %, y 1.417 varones, el 44 %. Además, 1.589 estudiantes, el 48,9 %, reali</t>
        </is>
      </c>
      <c r="E55" s="7" t="inlineStr"/>
      <c r="F55" s="9" t="inlineStr">
        <is>
          <t>En proceso</t>
        </is>
      </c>
      <c r="G55" s="10" t="n"/>
    </row>
    <row r="56">
      <c r="A56" s="8" t="inlineStr">
        <is>
          <t>3.1.1</t>
        </is>
      </c>
      <c r="B56" s="7" t="inlineStr">
        <is>
          <t>Término: Área Contable y de Auditoría</t>
        </is>
      </c>
      <c r="C56" s="7" t="inlineStr">
        <is>
          <t>El Plan de Estudios 2013 fue aprobado por el Primer Congreso Académico de la Carrera y por las Resoluciones HCC N.º 162/2012, HCF N.º 929/2012 y HCU N.º 025/2013, y rige desde febrero de 2013. Comprende cinco años, 43 asignaturas y 6.000 horas académicas. De las asignaturas, 29 son troncales, el 67,</t>
        </is>
      </c>
      <c r="D56" s="7" t="inlineStr">
        <is>
          <t>El Plan de Estudios 2013 fue aprobado por el Primer Congreso Académico de la Carrera y por las Resoluciones HCC N.º 162/2012, HCF N.º 929/2012 y HCU N.º 025/2013, y rige desde febrero de 2013. Comprende cinco años, 43 asignaturas y 6.000 horas académicas. De las asignaturas, 29 son del Área Contable</t>
        </is>
      </c>
      <c r="E56" s="7" t="inlineStr"/>
      <c r="F56" s="9" t="inlineStr">
        <is>
          <t>En proceso</t>
        </is>
      </c>
      <c r="G56" s="10" t="n"/>
    </row>
    <row r="57">
      <c r="A57" s="8" t="inlineStr">
        <is>
          <t>3.1.1</t>
        </is>
      </c>
      <c r="B57" s="7" t="inlineStr">
        <is>
          <t>Término: Área Contable y de Auditoría</t>
        </is>
      </c>
      <c r="C57" s="7" t="inlineStr">
        <is>
          <t>Subtotal troncal</t>
        </is>
      </c>
      <c r="D57" s="7" t="inlineStr">
        <is>
          <t>Subtotal Área Contable y de Auditoría</t>
        </is>
      </c>
      <c r="E57" s="7" t="inlineStr"/>
      <c r="F57" s="9" t="inlineStr">
        <is>
          <t>En proceso</t>
        </is>
      </c>
      <c r="G57" s="10" t="n"/>
    </row>
    <row r="58">
      <c r="A58" s="8" t="inlineStr">
        <is>
          <t>3.1.1</t>
        </is>
      </c>
      <c r="B58" s="7" t="inlineStr">
        <is>
          <t>Término: Área Contextual</t>
        </is>
      </c>
      <c r="C58" s="7" t="inlineStr">
        <is>
          <t>El Plan de Estudios 2013 fue aprobado por el Primer Congreso Académico de la Carrera y por las Resoluciones HCC N.º 162/2012, HCF N.º 929/2012 y HCU N.º 025/2013, y rige desde febrero de 2013. Comprende cinco años, 43 asignaturas y 6.000 horas académicas. De las asignaturas, 29 son del Área Contable</t>
        </is>
      </c>
      <c r="D58" s="7" t="inlineStr">
        <is>
          <t>El Plan de Estudios 2013 fue aprobado por el Primer Congreso Académico de la Carrera y por las Resoluciones HCC N.º 162/2012, HCF N.º 929/2012 y HCU N.º 025/2013, y rige desde febrero de 2013. Comprende cinco años, 43 asignaturas y 6.000 horas académicas. De las asignaturas, 29 son del Área Contable</t>
        </is>
      </c>
      <c r="E58" s="7" t="inlineStr"/>
      <c r="F58" s="9" t="inlineStr">
        <is>
          <t>En proceso</t>
        </is>
      </c>
      <c r="G58" s="10" t="n"/>
    </row>
    <row r="59">
      <c r="A59" s="8" t="inlineStr">
        <is>
          <t>3.1.1</t>
        </is>
      </c>
      <c r="B59" s="7" t="inlineStr">
        <is>
          <t>Término: Área Contextual</t>
        </is>
      </c>
      <c r="C59" s="7" t="inlineStr">
        <is>
          <t>Subtotal contextual</t>
        </is>
      </c>
      <c r="D59" s="7" t="inlineStr">
        <is>
          <t>Subtotal Área Contextual</t>
        </is>
      </c>
      <c r="E59" s="7" t="inlineStr"/>
      <c r="F59" s="9" t="inlineStr">
        <is>
          <t>En proceso</t>
        </is>
      </c>
      <c r="G59" s="10" t="n"/>
    </row>
    <row r="60">
      <c r="A60" s="8" t="inlineStr">
        <is>
          <t>3.1.1</t>
        </is>
      </c>
      <c r="B60" s="7" t="inlineStr">
        <is>
          <t>Término: Área Contextual</t>
        </is>
      </c>
      <c r="C60" s="7" t="inlineStr">
        <is>
          <t>La estructura muestra un rasgo que condiciona el rediseño: las áreas contextuales se concentran en los tres primeros años y desaparecen en cuarto y quinto, mientras que el bloque de aseguramiento se concentra en los dos últimos años, con 11 de sus 13 asignaturas en quinto. La formación es secuencial</t>
        </is>
      </c>
      <c r="D60" s="7" t="inlineStr">
        <is>
          <t xml:space="preserve">La estructura muestra un rasgo que condiciona el rediseño: las asignaturas del Área Contextual se concentran en los tres primeros años y desaparecen en cuarto y quinto, mientras que el bloque de aseguramiento se concentra en los dos últimos años, con 11 de sus 13 asignaturas en quinto. La formación </t>
        </is>
      </c>
      <c r="E60" s="7" t="inlineStr"/>
      <c r="F60" s="9" t="inlineStr">
        <is>
          <t>En proceso</t>
        </is>
      </c>
      <c r="G60" s="10" t="n"/>
    </row>
    <row r="61">
      <c r="A61" s="8" t="inlineStr">
        <is>
          <t>3.1.1</t>
        </is>
      </c>
      <c r="B61" s="7" t="inlineStr">
        <is>
          <t>Término: Área Contextual</t>
        </is>
      </c>
      <c r="C61" s="7" t="inlineStr">
        <is>
          <t xml:space="preserve">La estructura muestra un rasgo que condiciona el rediseño: las asignaturas del Área Contextual se concentran en los tres primeros años y desaparecen en cuarto y quinto, mientras que el bloque de aseguramiento se concentra en los dos últimos años, con 11 de sus 13 asignaturas en quinto. La formación </t>
        </is>
      </c>
      <c r="D61" s="7" t="inlineStr">
        <is>
          <t xml:space="preserve">La estructura muestra un rasgo que condiciona el rediseño: las asignaturas del Área Contextual se concentran en los tres primeros años y desaparecen en cuarto y quinto, mientras que el bloque de aseguramiento se concentra en los dos últimos años, con 11 de sus 13 asignaturas en quinto. La formación </t>
        </is>
      </c>
      <c r="E61" s="7" t="inlineStr"/>
      <c r="F61" s="9" t="inlineStr">
        <is>
          <t>En proceso</t>
        </is>
      </c>
      <c r="G61" s="10" t="n"/>
    </row>
    <row r="62">
      <c r="A62" s="8" t="inlineStr">
        <is>
          <t>3.1.2</t>
        </is>
      </c>
      <c r="B62" s="7" t="inlineStr">
        <is>
          <t>Datos de matrícula, gestión 2026</t>
        </is>
      </c>
      <c r="C62" s="7" t="inlineStr"/>
      <c r="D62" s="7" t="inlineStr">
        <is>
          <t>Columna 2026 agregada: 2026 | 4.296 | 3.116 | 1.180 | 72,53</t>
        </is>
      </c>
      <c r="E62" s="7" t="inlineStr"/>
      <c r="F62" s="9" t="inlineStr">
        <is>
          <t>En proceso</t>
        </is>
      </c>
      <c r="G62" s="10" t="n"/>
    </row>
    <row r="63">
      <c r="A63" s="8" t="inlineStr">
        <is>
          <t>3.1.2</t>
        </is>
      </c>
      <c r="B63" s="7" t="inlineStr">
        <is>
          <t>Datos de matrícula, gestión 2026</t>
        </is>
      </c>
      <c r="C63" s="7" t="inlineStr">
        <is>
          <t>Cuadro 5. Matrícula e inscripción estudiantil, 2021-2025</t>
        </is>
      </c>
      <c r="D63" s="7" t="inlineStr">
        <is>
          <t>Cuadro 5. Matrícula e inscripción estudiantil, 2021-2026</t>
        </is>
      </c>
      <c r="E63" s="7" t="inlineStr"/>
      <c r="F63" s="9" t="inlineStr">
        <is>
          <t>En proceso</t>
        </is>
      </c>
      <c r="G63" s="10" t="n"/>
    </row>
    <row r="64">
      <c r="A64" s="8" t="inlineStr">
        <is>
          <t>3.1.2</t>
        </is>
      </c>
      <c r="B64" s="7" t="inlineStr">
        <is>
          <t>Datos de matrícula, gestión 2026</t>
        </is>
      </c>
      <c r="C64" s="7" t="inlineStr">
        <is>
          <t>Matriculados e inscritos, 2025</t>
        </is>
      </c>
      <c r="D64" s="7" t="inlineStr">
        <is>
          <t>Matriculados e inscritos, 2026</t>
        </is>
      </c>
      <c r="E64" s="7" t="inlineStr"/>
      <c r="F64" s="9" t="inlineStr">
        <is>
          <t>En proceso</t>
        </is>
      </c>
      <c r="G64" s="10" t="n"/>
    </row>
    <row r="65">
      <c r="A65" s="8" t="inlineStr">
        <is>
          <t>3.1.2</t>
        </is>
      </c>
      <c r="B65" s="7" t="inlineStr">
        <is>
          <t>Datos de matrícula, gestión 2026</t>
        </is>
      </c>
      <c r="C65" s="7" t="inlineStr">
        <is>
          <t>4.283 y 3.143</t>
        </is>
      </c>
      <c r="D65" s="7" t="inlineStr">
        <is>
          <t>4.296 y 3.116</t>
        </is>
      </c>
      <c r="E65" s="7" t="inlineStr"/>
      <c r="F65" s="9" t="inlineStr">
        <is>
          <t>En proceso</t>
        </is>
      </c>
      <c r="G65" s="10" t="n"/>
    </row>
    <row r="66">
      <c r="A66" s="8" t="inlineStr">
        <is>
          <t>3.1.2</t>
        </is>
      </c>
      <c r="B66" s="7" t="inlineStr">
        <is>
          <t>Datos de matrícula, gestión 2026</t>
        </is>
      </c>
      <c r="C66" s="7" t="inlineStr">
        <is>
          <t>La matrícula cayó 8,97 % desde 2021</t>
        </is>
      </c>
      <c r="D66" s="7" t="inlineStr">
        <is>
          <t>La matrícula cayó 8,69 % desde 2021</t>
        </is>
      </c>
      <c r="E66" s="7" t="inlineStr"/>
      <c r="F66" s="9" t="inlineStr">
        <is>
          <t>En proceso</t>
        </is>
      </c>
      <c r="G66" s="10" t="n"/>
    </row>
    <row r="67">
      <c r="A67" s="8" t="inlineStr">
        <is>
          <t>3.1.2</t>
        </is>
      </c>
      <c r="B67" s="7" t="inlineStr">
        <is>
          <t>Datos de matrícula, gestión 2026</t>
        </is>
      </c>
      <c r="C67" s="7" t="inlineStr">
        <is>
          <t>33,01 % en 2021 y 26,62 % en 2025</t>
        </is>
      </c>
      <c r="D67" s="7" t="inlineStr">
        <is>
          <t>33,01 % en 2021 y 27,47 % en 2026</t>
        </is>
      </c>
      <c r="E67" s="7" t="inlineStr"/>
      <c r="F67" s="9" t="inlineStr">
        <is>
          <t>En proceso</t>
        </is>
      </c>
      <c r="G67" s="10" t="n"/>
    </row>
    <row r="68">
      <c r="A68" s="8" t="inlineStr">
        <is>
          <t>3.2.1</t>
        </is>
      </c>
      <c r="B68" s="7" t="inlineStr">
        <is>
          <t>Denominación del grado (Reglamento 08, Art. 4)</t>
        </is>
      </c>
      <c r="C68" s="7" t="inlineStr">
        <is>
          <t>Técnico Universitario Superior</t>
        </is>
      </c>
      <c r="D68" s="7" t="inlineStr">
        <is>
          <t>Técnico Superior</t>
        </is>
      </c>
      <c r="E68" s="7" t="inlineStr">
        <is>
          <t xml:space="preserve">Grados intermedios de Técnico Universitario Medio y Técnico Universitario Superior, y articulación con los diplomados y </t>
        </is>
      </c>
      <c r="F68" s="9" t="inlineStr">
        <is>
          <t>En proceso</t>
        </is>
      </c>
      <c r="G68" s="10" t="n"/>
    </row>
    <row r="69">
      <c r="A69" s="8" t="inlineStr">
        <is>
          <t>3.2.1</t>
        </is>
      </c>
      <c r="B69" s="7" t="inlineStr">
        <is>
          <t>Ortografía</t>
        </is>
      </c>
      <c r="C69" s="7" t="inlineStr">
        <is>
          <t>curgricular</t>
        </is>
      </c>
      <c r="D69" s="7" t="inlineStr">
        <is>
          <t>curricular</t>
        </is>
      </c>
      <c r="E69" s="7" t="inlineStr">
        <is>
          <t>El rediseño es el instrumento curgricular para cumplir el OE 1.3 y respalda las metas de acreditación de la Carrera</t>
        </is>
      </c>
      <c r="F69" s="9" t="inlineStr">
        <is>
          <t>En proceso</t>
        </is>
      </c>
      <c r="G69" s="10" t="n"/>
    </row>
    <row r="70">
      <c r="A70" s="8" t="inlineStr">
        <is>
          <t>3.4.4</t>
        </is>
      </c>
      <c r="B70" s="7" t="inlineStr">
        <is>
          <t>Ortografía</t>
        </is>
      </c>
      <c r="C70" s="7" t="inlineStr">
        <is>
          <t>auditoria</t>
        </is>
      </c>
      <c r="D70" s="7" t="inlineStr">
        <is>
          <t>auditoría</t>
        </is>
      </c>
      <c r="E70" s="7" t="inlineStr">
        <is>
          <t>Aplicaciones para auditoria y finanzas</t>
        </is>
      </c>
      <c r="F70" s="9" t="inlineStr">
        <is>
          <t>En proceso</t>
        </is>
      </c>
      <c r="G70" s="10" t="n"/>
    </row>
    <row r="71">
      <c r="A71" s="8" t="inlineStr">
        <is>
          <t>4.1.1</t>
        </is>
      </c>
      <c r="B71" s="7" t="inlineStr">
        <is>
          <t>Término: Contador Público</t>
        </is>
      </c>
      <c r="C71" s="7" t="inlineStr">
        <is>
          <t>Lo Multidimensional: Las organizaciones y los seres humanos son unidades complejas multidimensionales. El Contador Público Autorizado debe reconocer que la información contable no es únicamente cuantitativa-financiera, sino que integra dimensiones éticas, ambientales, tecnológicas, jurídicas y socio</t>
        </is>
      </c>
      <c r="D71" s="7" t="inlineStr">
        <is>
          <t>Lo Multidimensional: Las organizaciones y los seres humanos son unidades complejas multidimensionales. El Contador Público debe reconocer que la información contable no es únicamente cuantitativa-financiera, sino que integra dimensiones éticas, ambientales, tecnológicas, jurídicas y sociológicas.</t>
        </is>
      </c>
      <c r="E71" s="7" t="inlineStr"/>
      <c r="F71" s="9" t="inlineStr">
        <is>
          <t>En proceso</t>
        </is>
      </c>
      <c r="G71" s="10" t="n"/>
    </row>
    <row r="72">
      <c r="A72" s="8" t="inlineStr">
        <is>
          <t>4.1.1</t>
        </is>
      </c>
      <c r="B72" s="7" t="inlineStr">
        <is>
          <t>Término: Contador Público</t>
        </is>
      </c>
      <c r="C72" s="7" t="inlineStr">
        <is>
          <t>Lo Complejo: Existe complejidad cuando los constituyentes de un todo son inseparables y existe un tejido interdependiente e inter-retroactivo entre el objeto de conocimiento y su entorno. Frente a la incertidumbre y constante evolución del mundo de los negocios, el Contador Público Autorizado aplica</t>
        </is>
      </c>
      <c r="D72" s="7" t="inlineStr">
        <is>
          <t xml:space="preserve">Lo Complejo: Existe complejidad cuando los constituyentes de un todo son inseparables y existe un tejido interdependiente e inter-retroactivo entre el objeto de conocimiento y su entorno. Frente a la incertidumbre y constante evolución del mundo de los negocios, el Contador Público aplica su juicio </t>
        </is>
      </c>
      <c r="E72" s="7" t="inlineStr"/>
      <c r="F72" s="9" t="inlineStr">
        <is>
          <t>En proceso</t>
        </is>
      </c>
      <c r="G72" s="10" t="n"/>
    </row>
    <row r="73">
      <c r="A73" s="8" t="inlineStr">
        <is>
          <t>4.1.4</t>
        </is>
      </c>
      <c r="B73" s="7" t="inlineStr">
        <is>
          <t>Ortografía</t>
        </is>
      </c>
      <c r="C73" s="7" t="inlineStr">
        <is>
          <t>Adminisión</t>
        </is>
      </c>
      <c r="D73" s="7" t="inlineStr">
        <is>
          <t>Admisión</t>
        </is>
      </c>
      <c r="E73" s="7" t="inlineStr">
        <is>
          <t>IES 1 Requisitos de Ingreso al Programa: Garantiza la equidad, transparencia y meritocracia en los procesos de selección</t>
        </is>
      </c>
      <c r="F73" s="9" t="inlineStr">
        <is>
          <t>En proceso</t>
        </is>
      </c>
      <c r="G73" s="10" t="n"/>
    </row>
    <row r="74">
      <c r="A74" s="8" t="inlineStr">
        <is>
          <t>4.2.6</t>
        </is>
      </c>
      <c r="B74" s="7" t="inlineStr">
        <is>
          <t>Término: Contador Público</t>
        </is>
      </c>
      <c r="C74" s="7" t="inlineStr">
        <is>
          <t>Cuadro 3. Matriz resumen de las competencias del Contador Público Autorizado</t>
        </is>
      </c>
      <c r="D74" s="7" t="inlineStr">
        <is>
          <t>Cuadro 3. Matriz resumen de las competencias del Contador Público</t>
        </is>
      </c>
      <c r="E74" s="7" t="inlineStr"/>
      <c r="F74" s="9" t="inlineStr">
        <is>
          <t>En proceso</t>
        </is>
      </c>
      <c r="G74" s="10" t="n"/>
    </row>
    <row r="75">
      <c r="A75" s="8" t="inlineStr">
        <is>
          <t>4.3.2</t>
        </is>
      </c>
      <c r="B75" s="7" t="inlineStr">
        <is>
          <t>Denominación del grado (Reglamento 08, Art. 4)</t>
        </is>
      </c>
      <c r="C75" s="7" t="inlineStr">
        <is>
          <t>Técnico Universitario Superior</t>
        </is>
      </c>
      <c r="D75" s="7" t="inlineStr">
        <is>
          <t>Técnico Superior</t>
        </is>
      </c>
      <c r="E75" s="7" t="inlineStr">
        <is>
          <t>los grados intermedios de Técnico Universitario Medio y Técnico Universitario Superior, y la articulación de la graduaci</t>
        </is>
      </c>
      <c r="F75" s="9" t="inlineStr">
        <is>
          <t>En proceso</t>
        </is>
      </c>
      <c r="G75" s="10" t="n"/>
    </row>
    <row r="76">
      <c r="A76" s="8" t="inlineStr">
        <is>
          <t>4.3.4</t>
        </is>
      </c>
      <c r="B76" s="7" t="inlineStr">
        <is>
          <t>Ortografía</t>
        </is>
      </c>
      <c r="C76" s="7" t="inlineStr">
        <is>
          <t>Sector Publico</t>
        </is>
      </c>
      <c r="D76" s="7" t="inlineStr">
        <is>
          <t>Sector Público</t>
        </is>
      </c>
      <c r="E76" s="7" t="inlineStr">
        <is>
          <t>Incorporar los contenidos emergentes de mayor demanda: Normas del Sector Publico, NIIF y NIIF de Sostenibilidad, asegura</t>
        </is>
      </c>
      <c r="F76" s="9" t="inlineStr">
        <is>
          <t>En proceso</t>
        </is>
      </c>
      <c r="G76" s="10" t="n"/>
    </row>
    <row r="77">
      <c r="A77" s="8" t="inlineStr">
        <is>
          <t>4.3.5</t>
        </is>
      </c>
      <c r="B77" s="7" t="inlineStr">
        <is>
          <t>Nombre de asignatura (malla definitiva)</t>
        </is>
      </c>
      <c r="C77" s="7" t="inlineStr">
        <is>
          <t>Auditoría Interna, Control Interno y Gestión de Riesgos</t>
        </is>
      </c>
      <c r="D77" s="7" t="inlineStr">
        <is>
          <t>Auditoría Interna, Control Interno, Gestión de Riesgos y Gobierno Corporativo</t>
        </is>
      </c>
      <c r="E77" s="7" t="inlineStr">
        <is>
          <t>CPA-302 Contabilidad de Costos y Gestión, CPA-305 Sistemas Contables ERP y Análisis de Datos, CPA-406 Ética e Independen</t>
        </is>
      </c>
      <c r="F77" s="9" t="inlineStr">
        <is>
          <t>En proceso</t>
        </is>
      </c>
      <c r="G77" s="10" t="n"/>
    </row>
    <row r="78">
      <c r="A78" s="8" t="inlineStr">
        <is>
          <t>4.3.5</t>
        </is>
      </c>
      <c r="B78" s="7" t="inlineStr">
        <is>
          <t>Nombre de asignatura (malla definitiva)</t>
        </is>
      </c>
      <c r="C78" s="7" t="inlineStr">
        <is>
          <t>Auditoría Forense, Peritaje y Prevención de Delitos Económicos</t>
        </is>
      </c>
      <c r="D78" s="7" t="inlineStr">
        <is>
          <t>Auditoría Forense y Prevención de Delitos Económicos</t>
        </is>
      </c>
      <c r="E78" s="7" t="inlineStr">
        <is>
          <t>CPA-501 Auditoría Operativa, CPA-502 Gabinete de Auditoría Financiera, CPA-504 Auditoría Gubernamental, CPA-508 Auditorí</t>
        </is>
      </c>
      <c r="F78" s="9" t="inlineStr">
        <is>
          <t>En proceso</t>
        </is>
      </c>
      <c r="G78" s="10" t="n"/>
    </row>
    <row r="79">
      <c r="A79" s="8" t="inlineStr">
        <is>
          <t>4.4.1</t>
        </is>
      </c>
      <c r="B79" s="7" t="inlineStr">
        <is>
          <t>Ortografía</t>
        </is>
      </c>
      <c r="C79" s="7" t="inlineStr">
        <is>
          <t>Auditoria</t>
        </is>
      </c>
      <c r="D79" s="7" t="inlineStr">
        <is>
          <t>Auditoría</t>
        </is>
      </c>
      <c r="E79" s="7" t="inlineStr">
        <is>
          <t>Área Contable y de Auditoria</t>
        </is>
      </c>
      <c r="F79" s="9" t="inlineStr">
        <is>
          <t>En proceso</t>
        </is>
      </c>
      <c r="G79" s="10" t="n"/>
    </row>
    <row r="80">
      <c r="A80" s="8" t="inlineStr">
        <is>
          <t>4.4.1</t>
        </is>
      </c>
      <c r="B80" s="7" t="inlineStr">
        <is>
          <t>Ortografía</t>
        </is>
      </c>
      <c r="C80" s="7" t="inlineStr">
        <is>
          <t>Auditoria</t>
        </is>
      </c>
      <c r="D80" s="7" t="inlineStr">
        <is>
          <t>Auditoría</t>
        </is>
      </c>
      <c r="E80" s="7" t="inlineStr">
        <is>
          <t>Área Contable y de Auditoria</t>
        </is>
      </c>
      <c r="F80" s="9" t="inlineStr">
        <is>
          <t>En proceso</t>
        </is>
      </c>
      <c r="G80" s="10" t="n"/>
    </row>
    <row r="81">
      <c r="A81" s="8" t="inlineStr">
        <is>
          <t>4.4.1</t>
        </is>
      </c>
      <c r="B81" s="7" t="inlineStr">
        <is>
          <t>Término: Área Contextual</t>
        </is>
      </c>
      <c r="C81" s="7" t="inlineStr">
        <is>
          <t xml:space="preserve">De acuerdo con el modelo curricular por competencias del Sistema de la Universidad Boliviana y con la IES 2 de la IFAC, el Rediseño Curricular organiza sus 43 asignaturas en seis áreas de conocimiento agrupadas en dos bloques: el área contable y de auditoría, que forman el núcleo de la profesión, y </t>
        </is>
      </c>
      <c r="D81" s="7" t="inlineStr">
        <is>
          <t xml:space="preserve">De acuerdo con el modelo curricular por competencias del Sistema de la Universidad Boliviana y con la IES 2 de la IFAC, el Rediseño Curricular organiza sus 43 asignaturas en seis áreas de conocimiento agrupadas en dos bloques: el área contable y de auditoría, que forman el núcleo de la profesión, y </t>
        </is>
      </c>
      <c r="E81" s="7" t="inlineStr"/>
      <c r="F81" s="9" t="inlineStr">
        <is>
          <t>En proceso</t>
        </is>
      </c>
      <c r="G81" s="10" t="n"/>
    </row>
    <row r="82">
      <c r="A82" s="8" t="inlineStr">
        <is>
          <t>4.4.1</t>
        </is>
      </c>
      <c r="B82" s="7" t="inlineStr">
        <is>
          <t>Término: Área Contextual</t>
        </is>
      </c>
      <c r="C82" s="7" t="inlineStr">
        <is>
          <t>Área contextual:</t>
        </is>
      </c>
      <c r="D82" s="7" t="inlineStr">
        <is>
          <t>Área Contextual:</t>
        </is>
      </c>
      <c r="E82" s="7" t="inlineStr"/>
      <c r="F82" s="9" t="inlineStr">
        <is>
          <t>En proceso</t>
        </is>
      </c>
      <c r="G82" s="10" t="n"/>
    </row>
    <row r="83">
      <c r="A83" s="8" t="inlineStr">
        <is>
          <t>4.4.3</t>
        </is>
      </c>
      <c r="B83" s="7" t="inlineStr">
        <is>
          <t>Nombre de asignatura (malla definitiva)</t>
        </is>
      </c>
      <c r="C83" s="7" t="inlineStr">
        <is>
          <t>Álgebra Lineal y Programación Operativa Aplicada a los Negocios</t>
        </is>
      </c>
      <c r="D83" s="7" t="inlineStr">
        <is>
          <t>Álgebra Lineal y Modelación para Negocios</t>
        </is>
      </c>
      <c r="E83" s="7" t="inlineStr">
        <is>
          <t>Álgebra Lineal y Programación Operativa Aplicada a los Negocios</t>
        </is>
      </c>
      <c r="F83" s="9" t="inlineStr">
        <is>
          <t>En proceso</t>
        </is>
      </c>
      <c r="G83" s="10" t="n"/>
    </row>
    <row r="84">
      <c r="A84" s="8" t="inlineStr">
        <is>
          <t>4.4.3</t>
        </is>
      </c>
      <c r="B84" s="7" t="inlineStr">
        <is>
          <t>Nombre de asignatura (malla definitiva)</t>
        </is>
      </c>
      <c r="C84" s="7" t="inlineStr">
        <is>
          <t>Contabilidad y Presupuestos Gubernamental</t>
        </is>
      </c>
      <c r="D84" s="7" t="inlineStr">
        <is>
          <t>Presupuesto y Contabilidad Gubernamental</t>
        </is>
      </c>
      <c r="E84" s="7" t="inlineStr">
        <is>
          <t>Contabilidad y Presupuestos Gubernamental</t>
        </is>
      </c>
      <c r="F84" s="9" t="inlineStr">
        <is>
          <t>En proceso</t>
        </is>
      </c>
      <c r="G84" s="10" t="n"/>
    </row>
    <row r="85">
      <c r="A85" s="8" t="inlineStr">
        <is>
          <t>4.4.3</t>
        </is>
      </c>
      <c r="B85" s="7" t="inlineStr">
        <is>
          <t>Nombre de asignatura (malla definitiva)</t>
        </is>
      </c>
      <c r="C85" s="7" t="inlineStr">
        <is>
          <t>Auditoría Interna, Control Interno y Gestión de Riesgos</t>
        </is>
      </c>
      <c r="D85" s="7" t="inlineStr">
        <is>
          <t>Auditoría Interna, Control Interno, Gestión de Riesgos y Gobierno Corporativo</t>
        </is>
      </c>
      <c r="E85" s="7" t="inlineStr">
        <is>
          <t>Auditoría Interna, Control Interno y Gestión de Riesgos</t>
        </is>
      </c>
      <c r="F85" s="9" t="inlineStr">
        <is>
          <t>En proceso</t>
        </is>
      </c>
      <c r="G85" s="10" t="n"/>
    </row>
    <row r="86">
      <c r="A86" s="8" t="inlineStr">
        <is>
          <t>4.4.3</t>
        </is>
      </c>
      <c r="B86" s="7" t="inlineStr">
        <is>
          <t>Nombre de asignatura (malla definitiva)</t>
        </is>
      </c>
      <c r="C86" s="7" t="inlineStr">
        <is>
          <t>Auditoría de Proyectos Públicos y Privados</t>
        </is>
      </c>
      <c r="D86" s="7" t="inlineStr">
        <is>
          <t>Auditoría de Entidades Sin Fines de Lucro – Proyectos Privados y Públicos</t>
        </is>
      </c>
      <c r="E86" s="7" t="inlineStr">
        <is>
          <t>Auditoría de Proyectos Públicos y Privados</t>
        </is>
      </c>
      <c r="F86" s="9" t="inlineStr">
        <is>
          <t>En proceso</t>
        </is>
      </c>
      <c r="G86" s="10" t="n"/>
    </row>
    <row r="87">
      <c r="A87" s="8" t="inlineStr">
        <is>
          <t>4.4.3</t>
        </is>
      </c>
      <c r="B87" s="7" t="inlineStr">
        <is>
          <t>Nombre de asignatura (malla definitiva)</t>
        </is>
      </c>
      <c r="C87" s="7" t="inlineStr">
        <is>
          <t>Auditoría Forense, Peritaje y Prevención de Delitos Económicos</t>
        </is>
      </c>
      <c r="D87" s="7" t="inlineStr">
        <is>
          <t>Auditoría Forense y Prevención de Delitos Económicos</t>
        </is>
      </c>
      <c r="E87" s="7" t="inlineStr">
        <is>
          <t>Auditoría Forense, Peritaje y Prevención de Delitos Económicos</t>
        </is>
      </c>
      <c r="F87" s="9" t="inlineStr">
        <is>
          <t>En proceso</t>
        </is>
      </c>
      <c r="G87" s="10" t="n"/>
    </row>
    <row r="88">
      <c r="A88" s="8" t="inlineStr">
        <is>
          <t>5</t>
        </is>
      </c>
      <c r="B88" s="7" t="inlineStr">
        <is>
          <t>Formato</t>
        </is>
      </c>
      <c r="C88" s="7" t="inlineStr">
        <is>
          <t>Texto en color rojo (Cuadro 4 de mesas, Cuadro 5 de grados, examen por ciclos y listas de ciclos)</t>
        </is>
      </c>
      <c r="D88" s="7" t="inlineStr">
        <is>
          <t>Color automático</t>
        </is>
      </c>
      <c r="E88" s="7" t="inlineStr"/>
      <c r="F88" s="9" t="inlineStr">
        <is>
          <t>En proceso</t>
        </is>
      </c>
      <c r="G88" s="10" t="n"/>
    </row>
    <row r="89">
      <c r="A89" s="8" t="inlineStr">
        <is>
          <t>5</t>
        </is>
      </c>
      <c r="B89" s="7" t="inlineStr">
        <is>
          <t>Estructura y formato</t>
        </is>
      </c>
      <c r="C89" s="7" t="inlineStr"/>
      <c r="D89" s="7" t="inlineStr">
        <is>
          <t>Se eliminó el comentario de la Lic. Carlos Gonzales Alanes y el color rojo del punto 5, tras revisar los nombres de las asignaturas.</t>
        </is>
      </c>
      <c r="E89" s="7" t="inlineStr"/>
      <c r="F89" s="9" t="inlineStr">
        <is>
          <t>En proceso</t>
        </is>
      </c>
      <c r="G89" s="10" t="n"/>
    </row>
    <row r="90">
      <c r="A90" s="8" t="inlineStr">
        <is>
          <t>5.4.1</t>
        </is>
      </c>
      <c r="B90" s="7" t="inlineStr">
        <is>
          <t>Denominación del grado (Reglamento 08, Art. 4)</t>
        </is>
      </c>
      <c r="C90" s="7" t="inlineStr">
        <is>
          <t>Técnico Universitario Superior</t>
        </is>
      </c>
      <c r="D90" s="7" t="inlineStr">
        <is>
          <t>Técnico Superior</t>
        </is>
      </c>
      <c r="E90" s="7" t="inlineStr">
        <is>
          <t>Técnico Universitario Superior</t>
        </is>
      </c>
      <c r="F90" s="9" t="inlineStr">
        <is>
          <t>En proceso</t>
        </is>
      </c>
      <c r="G90" s="10" t="n"/>
    </row>
    <row r="91">
      <c r="A91" s="8" t="inlineStr">
        <is>
          <t>5.4.1</t>
        </is>
      </c>
      <c r="B91" s="7" t="inlineStr">
        <is>
          <t>Denominación del grado (Reglamento 08, Art. 4)</t>
        </is>
      </c>
      <c r="C91" s="7" t="inlineStr">
        <is>
          <t>Técnico Universitario Superior en Contabilidad General</t>
        </is>
      </c>
      <c r="D91" s="7" t="inlineStr">
        <is>
          <t>Técnico Superior en Contabilidad General</t>
        </is>
      </c>
      <c r="E91" s="7" t="inlineStr">
        <is>
          <t>Técnico Universitario Superior en Contabilidad General</t>
        </is>
      </c>
      <c r="F91" s="9" t="inlineStr">
        <is>
          <t>En proceso</t>
        </is>
      </c>
      <c r="G91" s="10" t="n"/>
    </row>
    <row r="92">
      <c r="A92" s="8" t="inlineStr">
        <is>
          <t>5.4.1</t>
        </is>
      </c>
      <c r="B92" s="7" t="inlineStr">
        <is>
          <t>Descripción del grado intermedio TUM</t>
        </is>
      </c>
      <c r="C92" s="7" t="inlineStr">
        <is>
          <t>Aprobación de todas las asignaturas del Primer y Segundo año, 16 asignaturas, en el tiempo determinado (dos años continuos bajo modalidad anual)</t>
        </is>
      </c>
      <c r="D92" s="7" t="inlineStr">
        <is>
          <t>Aprobación directa tras concluir y aprobar la totalidad de las dieciséis (16) asignaturas correspondientes a primero y segundo año en un periodo continuo de dos (2) gestiones académicas, en estricto cumplimiento de la Resolución HCU Nº 426/2024</t>
        </is>
      </c>
      <c r="E92" s="7" t="inlineStr"/>
      <c r="F92" s="9" t="inlineStr">
        <is>
          <t>En proceso</t>
        </is>
      </c>
      <c r="G92" s="10" t="n"/>
    </row>
    <row r="93">
      <c r="A93" s="8" t="inlineStr">
        <is>
          <t>5.4.2</t>
        </is>
      </c>
      <c r="B93" s="7" t="inlineStr">
        <is>
          <t>Nombre de asignatura (malla definitiva)</t>
        </is>
      </c>
      <c r="C93" s="7" t="inlineStr">
        <is>
          <t>Presupuestos y Contabilidad Gubernamental</t>
        </is>
      </c>
      <c r="D93" s="7" t="inlineStr">
        <is>
          <t>Presupuesto y Contabilidad Gubernamental</t>
        </is>
      </c>
      <c r="E93" s="7" t="inlineStr">
        <is>
          <t>Presupuestos y Contabilidad Gubernamental</t>
        </is>
      </c>
      <c r="F93" s="9" t="inlineStr">
        <is>
          <t>En proceso</t>
        </is>
      </c>
      <c r="G93" s="10" t="n"/>
    </row>
    <row r="94">
      <c r="A94" s="8" t="inlineStr">
        <is>
          <t>5.4.2</t>
        </is>
      </c>
      <c r="B94" s="7" t="inlineStr">
        <is>
          <t>Nombre de asignatura (malla definitiva)</t>
        </is>
      </c>
      <c r="C94" s="7" t="inlineStr">
        <is>
          <t>Auditoría Interna, Control Interno y Gestión de Riesgos</t>
        </is>
      </c>
      <c r="D94" s="7" t="inlineStr">
        <is>
          <t>Auditoría Interna, Control Interno, Gestión de Riesgos y Gobierno Corporativo</t>
        </is>
      </c>
      <c r="E94" s="7" t="inlineStr">
        <is>
          <t>Auditoría Interna, Control Interno y Gestión de Riesgos</t>
        </is>
      </c>
      <c r="F94" s="9" t="inlineStr">
        <is>
          <t>En proceso</t>
        </is>
      </c>
      <c r="G94" s="10" t="n"/>
    </row>
    <row r="95">
      <c r="A95" s="8" t="inlineStr">
        <is>
          <t>5.4.2</t>
        </is>
      </c>
      <c r="B95" s="7" t="inlineStr">
        <is>
          <t>Nombre de asignatura (malla definitiva)</t>
        </is>
      </c>
      <c r="C95" s="7" t="inlineStr">
        <is>
          <t>Auditoría de Proyectos: Público y Privado</t>
        </is>
      </c>
      <c r="D95" s="7" t="inlineStr">
        <is>
          <t>Auditoría de Entidades Sin Fines de Lucro – Proyectos Privados y Públicos</t>
        </is>
      </c>
      <c r="E95" s="7" t="inlineStr">
        <is>
          <t>Auditoría de Proyectos: Público y Privado</t>
        </is>
      </c>
      <c r="F95" s="9" t="inlineStr">
        <is>
          <t>En proceso</t>
        </is>
      </c>
      <c r="G95" s="10" t="n"/>
    </row>
    <row r="96">
      <c r="A96" s="8" t="inlineStr">
        <is>
          <t>5.4.2</t>
        </is>
      </c>
      <c r="B96" s="7" t="inlineStr">
        <is>
          <t>Nombre de asignatura (malla definitiva)</t>
        </is>
      </c>
      <c r="C96" s="7" t="inlineStr">
        <is>
          <t>Auditoría de Entidades Financieras</t>
        </is>
      </c>
      <c r="D96" s="7" t="inlineStr">
        <is>
          <t>Auditoría de Entidades Financieras y Servicios Relacionados</t>
        </is>
      </c>
      <c r="E96" s="7" t="inlineStr">
        <is>
          <t>Auditoría de Entidades Financieras</t>
        </is>
      </c>
      <c r="F96" s="9" t="inlineStr">
        <is>
          <t>En proceso</t>
        </is>
      </c>
      <c r="G96" s="10" t="n"/>
    </row>
    <row r="97">
      <c r="A97" s="8" t="inlineStr">
        <is>
          <t>5.4.2</t>
        </is>
      </c>
      <c r="B97" s="7" t="inlineStr">
        <is>
          <t>Alineación con el Reglamento de Modalidades de Graduación</t>
        </is>
      </c>
      <c r="C97" s="7" t="inlineStr">
        <is>
          <t>), el estudiante que concluya las 43 asignaturas del presente plan, podrá optar por una de las siguientes seis modalidades</t>
        </is>
      </c>
      <c r="D97" s="7" t="inlineStr">
        <is>
          <t>) y con el Reglamento de Modalidades de Graduación de la Carrera incorporado en el punto 13.1.4, el estudiante que concluya las 43 asignaturas del presente plan podrá optar por una de las siguientes siete modalidades</t>
        </is>
      </c>
      <c r="E97" s="7" t="inlineStr">
        <is>
          <t>En estricta concordancia con el Reglamento General de Tipos y Modalidades de Graduación del SUB (aprobado en los congres</t>
        </is>
      </c>
      <c r="F97" s="9" t="inlineStr">
        <is>
          <t>En proceso</t>
        </is>
      </c>
      <c r="G97" s="10" t="n"/>
    </row>
    <row r="98">
      <c r="A98" s="8" t="inlineStr">
        <is>
          <t>5.4.2</t>
        </is>
      </c>
      <c r="B98" s="7" t="inlineStr">
        <is>
          <t>Alineación con el Reglamento de Modalidades de Graduación</t>
        </is>
      </c>
      <c r="C98" s="7" t="inlineStr">
        <is>
          <t>dedicación exclusiva durante un periodo máximo de 8 meses.</t>
        </is>
      </c>
      <c r="D98" s="7" t="inlineStr">
        <is>
          <t>dedicación exclusiva durante un periodo máximo de ocho (8) meses, con un mínimo de 1.280 horas de trabajo efectivo, conforme a los Artículos 46 y 47 del Reglamento de Modalidades de Graduación.</t>
        </is>
      </c>
      <c r="E98" s="7" t="inlineStr">
        <is>
          <t>Requisitos Específicos: El estudiante debe tener un promedio académico acumulado no menor a sesenta (60) puntos y dedica</t>
        </is>
      </c>
      <c r="F98" s="9" t="inlineStr">
        <is>
          <t>En proceso</t>
        </is>
      </c>
      <c r="G98" s="10" t="n"/>
    </row>
    <row r="99">
      <c r="A99" s="8" t="inlineStr">
        <is>
          <t>5.4.2</t>
        </is>
      </c>
      <c r="B99" s="7" t="inlineStr">
        <is>
          <t>Alineación con el Reglamento de Modalidades de Graduación (escala del trabajo dirigido, Art. 55)</t>
        </is>
      </c>
      <c r="C99" s="7" t="inlineStr">
        <is>
          <t>Aprobado – Buena</t>
        </is>
      </c>
      <c r="D99" s="7" t="inlineStr">
        <is>
          <t>Aprobado – Bueno</t>
        </is>
      </c>
      <c r="E99" s="7" t="inlineStr"/>
      <c r="F99" s="9" t="inlineStr">
        <is>
          <t>En proceso</t>
        </is>
      </c>
      <c r="G99" s="10" t="n"/>
    </row>
    <row r="100">
      <c r="A100" s="8" t="inlineStr">
        <is>
          <t>5.4.2</t>
        </is>
      </c>
      <c r="B100" s="7" t="inlineStr">
        <is>
          <t>Alineación con el Reglamento de Modalidades de Graduación (escala del trabajo dirigido, Art. 55)</t>
        </is>
      </c>
      <c r="C100" s="7" t="inlineStr">
        <is>
          <t>Sobresaliente – Con recomendación de publicación</t>
        </is>
      </c>
      <c r="D100" s="7" t="inlineStr">
        <is>
          <t>Aprobado – Sobresaliente</t>
        </is>
      </c>
      <c r="E100" s="7" t="inlineStr"/>
      <c r="F100" s="9" t="inlineStr">
        <is>
          <t>En proceso</t>
        </is>
      </c>
      <c r="G100" s="10" t="n"/>
    </row>
    <row r="101">
      <c r="A101" s="8" t="inlineStr">
        <is>
          <t>5.4.2</t>
        </is>
      </c>
      <c r="B101" s="7" t="inlineStr">
        <is>
          <t>Alineación con el Reglamento de Modalidades de Graduación (escala del trabajo dirigido, Art. 55)</t>
        </is>
      </c>
      <c r="C101" s="7" t="inlineStr">
        <is>
          <t>Excelente – Con mención honorífica y recomendación de publicación</t>
        </is>
      </c>
      <c r="D101" s="7" t="inlineStr">
        <is>
          <t>Excelente – Excelencia</t>
        </is>
      </c>
      <c r="E101" s="7" t="inlineStr"/>
      <c r="F101" s="9" t="inlineStr">
        <is>
          <t>En proceso</t>
        </is>
      </c>
      <c r="G101" s="10" t="n"/>
    </row>
    <row r="102">
      <c r="A102" s="8" t="inlineStr">
        <is>
          <t>5.4.2</t>
        </is>
      </c>
      <c r="B102" s="7" t="inlineStr">
        <is>
          <t>Alineación con el Reglamento de Modalidades de Graduación</t>
        </is>
      </c>
      <c r="C102" s="7" t="inlineStr">
        <is>
          <t>como mínimo tres (3) veces al año</t>
        </is>
      </c>
      <c r="D102" s="7" t="inlineStr">
        <is>
          <t>como mínimo cuatro (4) veces al año, cada convocatoria en tres (3) semanas continuas, una por ciclo</t>
        </is>
      </c>
      <c r="E102" s="7" t="inlineStr">
        <is>
          <t>Las asignaturas sujetas a evaluación, corresponden a las áreas de información financiera y aseguramiento, distribuidas e</t>
        </is>
      </c>
      <c r="F102" s="9" t="inlineStr">
        <is>
          <t>En proceso</t>
        </is>
      </c>
      <c r="G102" s="10" t="n"/>
    </row>
    <row r="103">
      <c r="A103" s="8" t="inlineStr">
        <is>
          <t>5.4.2</t>
        </is>
      </c>
      <c r="B103" s="7" t="inlineStr">
        <is>
          <t>Alineación con el Reglamento de Modalidades de Graduación</t>
        </is>
      </c>
      <c r="C103" s="7" t="inlineStr">
        <is>
          <t>24 horas de anticipación al examen.</t>
        </is>
      </c>
      <c r="D103" s="7" t="inlineStr">
        <is>
          <t>24 horas de anticipación al examen. El postulante debe aprobar los tres ciclos en un plazo máximo de doce (12) meses calendario desde su inscripción al primer ciclo, y quien repruebe tres (3) veces un mismo ciclo queda inhabilitado para esta modalidad, conforme a los Artículos 60 a 67 del Reglamento de Modalidades de Graduación.</t>
        </is>
      </c>
      <c r="E103" s="7" t="inlineStr">
        <is>
          <t>Las asignaturas sujetas a evaluación, corresponden a las áreas de información financiera y aseguramiento, distribuidas e</t>
        </is>
      </c>
      <c r="F103" s="9" t="inlineStr">
        <is>
          <t>En proceso</t>
        </is>
      </c>
      <c r="G103" s="10" t="n"/>
    </row>
    <row r="104">
      <c r="A104" s="8" t="inlineStr">
        <is>
          <t>5.4.2</t>
        </is>
      </c>
      <c r="B104" s="7" t="inlineStr">
        <is>
          <t>Alineación con el Reglamento de Modalidades de Graduación</t>
        </is>
      </c>
      <c r="C104" s="7" t="inlineStr">
        <is>
          <t>Ciclo Servicios</t>
        </is>
      </c>
      <c r="D104" s="7" t="inlineStr">
        <is>
          <t>Ciclo de Servicios</t>
        </is>
      </c>
      <c r="E104" s="7" t="inlineStr">
        <is>
          <t>Ciclo Servicios de Aseguramiento</t>
        </is>
      </c>
      <c r="F104" s="9" t="inlineStr">
        <is>
          <t>En proceso</t>
        </is>
      </c>
      <c r="G104" s="10" t="n"/>
    </row>
    <row r="105">
      <c r="A105" s="8" t="inlineStr">
        <is>
          <t>5.4.2</t>
        </is>
      </c>
      <c r="B105" s="7" t="inlineStr">
        <is>
          <t>Alineación con el Reglamento de Modalidades de Graduación (Art. 72)</t>
        </is>
      </c>
      <c r="C105" s="7" t="inlineStr">
        <is>
          <t>Haber aprobado el 100% de las 43 asignaturas en primera instancia (sin haber recurrido a exámenes de mesa ni haber reprobado ninguna materia).</t>
        </is>
      </c>
      <c r="D105" s="7" t="inlineStr">
        <is>
          <t>Haber aprobado el 100% de las 43 asignaturas en evaluaciones ordinarias de primera instancia, sin haber reprobado, abandonado ni cursado asignaturas en segundo turno, exámenes extraordinarios de mesa o cursos de verano destinados a subsanar reprobaciones.</t>
        </is>
      </c>
      <c r="E105" s="7" t="inlineStr"/>
      <c r="F105" s="9" t="inlineStr">
        <is>
          <t>En proceso</t>
        </is>
      </c>
      <c r="G105" s="10" t="n"/>
    </row>
    <row r="106">
      <c r="A106" s="8" t="inlineStr">
        <is>
          <t>5.4.2</t>
        </is>
      </c>
      <c r="B106" s="7" t="inlineStr">
        <is>
          <t>Alineación con el Reglamento de Modalidades de Graduación (Art. 72)</t>
        </is>
      </c>
      <c r="C106" s="7" t="inlineStr">
        <is>
          <t>Haber concluido el plan de estudios dentro del tiempo reglamentario de la carrera (5 años continuos).</t>
        </is>
      </c>
      <c r="D106" s="7" t="inlineStr">
        <is>
          <t>Haber concluido el plan de estudios en el tiempo reglamentario de cinco (5) gestiones académicas anuales continuas, sin suspensiones voluntarias, abandonos temporales ni postergaciones de matrícula.</t>
        </is>
      </c>
      <c r="E106" s="7" t="inlineStr"/>
      <c r="F106" s="9" t="inlineStr">
        <is>
          <t>En proceso</t>
        </is>
      </c>
      <c r="G106" s="10" t="n"/>
    </row>
    <row r="107">
      <c r="A107" s="8" t="inlineStr">
        <is>
          <t>5.4.2</t>
        </is>
      </c>
      <c r="B107" s="7" t="inlineStr">
        <is>
          <t>Alineación con el Reglamento de Modalidades de Graduación (Art. 72)</t>
        </is>
      </c>
      <c r="C107" s="7" t="inlineStr">
        <is>
          <t>Acreditar un promedio general ponderado cuantitativo sobresaliente (igual o superior al límite fijado por la normativa de la Facultad y la UMSA).</t>
        </is>
      </c>
      <c r="D107" s="7" t="inlineStr">
        <is>
          <t>Acreditar un Promedio Ponderado Acumulado (PPA) igual o superior a setenta y cinco (75) puntos a lo largo de los cinco años de estudio, conforme al Artículo 72 del Reglamento de Modalidades de Graduación.</t>
        </is>
      </c>
      <c r="E107" s="7" t="inlineStr"/>
      <c r="F107" s="9" t="inlineStr">
        <is>
          <t>En proceso</t>
        </is>
      </c>
      <c r="G107" s="10" t="n"/>
    </row>
    <row r="108">
      <c r="A108" s="8" t="inlineStr">
        <is>
          <t>5.4.2</t>
        </is>
      </c>
      <c r="B108" s="7" t="inlineStr">
        <is>
          <t>Alineación con el Reglamento de Modalidades de Graduación (Art. 72, requisito agregado)</t>
        </is>
      </c>
      <c r="C108" s="7" t="inlineStr"/>
      <c r="D108" s="7" t="inlineStr">
        <is>
          <t>No registrar antecedentes disciplinarios, sanciones administrativas, procesos en Tribunal de Honor ni fallos de ética universitaria o de plagio académico.</t>
        </is>
      </c>
      <c r="E108" s="7" t="inlineStr"/>
      <c r="F108" s="9" t="inlineStr">
        <is>
          <t>En proceso</t>
        </is>
      </c>
      <c r="G108" s="10" t="n"/>
    </row>
    <row r="109">
      <c r="A109" s="8" t="inlineStr">
        <is>
          <t>5.4.2</t>
        </is>
      </c>
      <c r="B109" s="7" t="inlineStr">
        <is>
          <t>Alineación con el Reglamento de Modalidades de Graduación (Art. 78)</t>
        </is>
      </c>
      <c r="C109" s="7" t="inlineStr">
        <is>
          <t>el estudiante de Quinto Año o egresado puede cursar</t>
        </is>
      </c>
      <c r="D109" s="7" t="inlineStr">
        <is>
          <t>el estudiante que concluyó y aprobó las 43 asignaturas del plan de estudios puede cursar</t>
        </is>
      </c>
      <c r="E109" s="7" t="inlineStr">
        <is>
          <t>Conforme a las normativas vigentes del SUB, mediante el Título IV (Artículos 82 al 95) del Reglamento General de Estudio</t>
        </is>
      </c>
      <c r="F109" s="9" t="inlineStr">
        <is>
          <t>En proceso</t>
        </is>
      </c>
      <c r="G109" s="10" t="n"/>
    </row>
    <row r="110">
      <c r="A110" s="8" t="inlineStr">
        <is>
          <t>5.4.2</t>
        </is>
      </c>
      <c r="B110" s="7" t="inlineStr">
        <is>
          <t>Alineación con el Reglamento de Modalidades de Graduación</t>
        </is>
      </c>
      <c r="C110" s="7" t="inlineStr">
        <is>
          <t>(otorgada al cursante con desempeño cuali-cuantitativo sobresaliente en los módulos del programa).</t>
        </is>
      </c>
      <c r="D110" s="7" t="inlineStr">
        <is>
          <t>(otorgada al cursante con desempeño cuali-cuantitativo sobresaliente en los módulos del programa). Los programas duran entre cuatro (4) y seis (6) meses y exigen un 80 % de asistencia y una nota mínima de setenta y uno (71) puntos por módulo y en el trabajo final, conforme a los Artículos 77 a 82 del Reglamento de Modalidades de Graduación.</t>
        </is>
      </c>
      <c r="E110" s="7" t="inlineStr">
        <is>
          <t>Conforme a las normativas vigentes del SUB, mediante el Título IV (Artículos 82 al 95) del Reglamento General de Estudio</t>
        </is>
      </c>
      <c r="F110" s="9" t="inlineStr">
        <is>
          <t>En proceso</t>
        </is>
      </c>
      <c r="G110" s="10" t="n"/>
    </row>
    <row r="111">
      <c r="A111" s="8" t="inlineStr">
        <is>
          <t>5.4.2</t>
        </is>
      </c>
      <c r="B111" s="7" t="inlineStr">
        <is>
          <t>Comentario eliminado</t>
        </is>
      </c>
      <c r="C111" s="7" t="inlineStr">
        <is>
          <t>Comentario de Carlos Gonzales Alanes: "Revisar los nombres de las asignaturas por favor"</t>
        </is>
      </c>
      <c r="D111" s="7" t="inlineStr">
        <is>
          <t>Eliminado tras ajustar los nombres a la malla</t>
        </is>
      </c>
      <c r="E111" s="7" t="inlineStr"/>
      <c r="F111" s="9" t="inlineStr">
        <is>
          <t>En proceso</t>
        </is>
      </c>
      <c r="G111" s="10" t="n"/>
    </row>
    <row r="112">
      <c r="A112" s="8" t="inlineStr">
        <is>
          <t>5.4.3</t>
        </is>
      </c>
      <c r="B112" s="7" t="inlineStr">
        <is>
          <t>Nombre de asignatura (malla definitiva)</t>
        </is>
      </c>
      <c r="C112" s="7" t="inlineStr">
        <is>
          <t>Contabilidad y Presupuestos Gubernamental</t>
        </is>
      </c>
      <c r="D112" s="7" t="inlineStr">
        <is>
          <t>Presupuesto y Contabilidad Gubernamental</t>
        </is>
      </c>
      <c r="E112" s="7" t="inlineStr">
        <is>
          <t>b. Técnico Universitario Superior. El grado de Técnico Universitario Superior en Contabilidad General se obtiene mediant</t>
        </is>
      </c>
      <c r="F112" s="9" t="inlineStr">
        <is>
          <t>En proceso</t>
        </is>
      </c>
      <c r="G112" s="10" t="n"/>
    </row>
    <row r="113">
      <c r="A113" s="8" t="inlineStr">
        <is>
          <t>5.4.3</t>
        </is>
      </c>
      <c r="B113" s="7" t="inlineStr">
        <is>
          <t>Denominación del grado (Reglamento 08, Art. 4)</t>
        </is>
      </c>
      <c r="C113" s="7" t="inlineStr">
        <is>
          <t>Técnico Universitario Superior en Contabilidad General</t>
        </is>
      </c>
      <c r="D113" s="7" t="inlineStr">
        <is>
          <t>Técnico Superior en Contabilidad General</t>
        </is>
      </c>
      <c r="E113" s="7" t="inlineStr">
        <is>
          <t>b. Técnico Universitario Superior. El grado de Técnico Universitario Superior en Contabilidad General se obtiene mediant</t>
        </is>
      </c>
      <c r="F113" s="9" t="inlineStr">
        <is>
          <t>En proceso</t>
        </is>
      </c>
      <c r="G113" s="10" t="n"/>
    </row>
    <row r="114">
      <c r="A114" s="8" t="inlineStr">
        <is>
          <t>5.4.3</t>
        </is>
      </c>
      <c r="B114" s="7" t="inlineStr">
        <is>
          <t>Denominación del grado (Reglamento 08, Art. 4)</t>
        </is>
      </c>
      <c r="C114" s="7" t="inlineStr">
        <is>
          <t>Técnico Universitario Superior</t>
        </is>
      </c>
      <c r="D114" s="7" t="inlineStr">
        <is>
          <t>Técnico Superior</t>
        </is>
      </c>
      <c r="E114" s="7" t="inlineStr">
        <is>
          <t>b. Técnico Universitario Superior. El grado de Técnico Superior en Contabilidad General se obtiene mediante el examen de</t>
        </is>
      </c>
      <c r="F114" s="9" t="inlineStr">
        <is>
          <t>En proceso</t>
        </is>
      </c>
      <c r="G114" s="10" t="n"/>
    </row>
    <row r="115">
      <c r="A115" s="8" t="inlineStr">
        <is>
          <t>5.4.3</t>
        </is>
      </c>
      <c r="B115" s="7" t="inlineStr">
        <is>
          <t>Descripción del grado intermedio TUM</t>
        </is>
      </c>
      <c r="C115" s="7" t="inlineStr">
        <is>
          <t xml:space="preserve">a. Técnico Universitario Medio. Conforme al Artículo Segundo de la Resolución HCU N.º 426/2024, el requisito ineludible para extender el Diploma Académico y el Título Profesional de Técnico Universitario Medio es la aprobación de todas las asignaturas de primero y segundo año en el tiempo determinado de dos años, inexcusablemente. </t>
        </is>
      </c>
      <c r="D115" s="7" t="inlineStr">
        <is>
          <t>a. Técnico Universitario Medio. Salida intermedia que conduce a la obtención del Diploma Académico de Técnico Universitario Medio en Contabilidad y Título en Provisión Nacional de Auxiliar Contable, de aprobación directa tras concluir y aprobar la totalidad de las dieciséis (16) asignaturas correspondientes a primero y segundo año en un periodo continuo de dos (2) gestiones académicas, en estricto</t>
        </is>
      </c>
      <c r="E115" s="7" t="inlineStr"/>
      <c r="F115" s="9" t="inlineStr">
        <is>
          <t>En proceso</t>
        </is>
      </c>
      <c r="G115" s="10" t="n"/>
    </row>
    <row r="116">
      <c r="A116" s="8" t="inlineStr">
        <is>
          <t>5.4.3</t>
        </is>
      </c>
      <c r="B116" s="7" t="inlineStr">
        <is>
          <t>Alineación con el Reglamento de Modalidades de Graduación</t>
        </is>
      </c>
      <c r="C116" s="7" t="inlineStr">
        <is>
          <t>se aprueba con nota mínima de 51 puntos sobre 100.</t>
        </is>
      </c>
      <c r="D116" s="7" t="inlineStr">
        <is>
          <t>se aprueba con nota mínima de 51 puntos sobre 100. La prueba es escrita, de resolución de casos sobre información financiera, con una duración de noventa (90) minutos, conforme a los Artículos 87 a 90 del Reglamento de Modalidades de Graduación.</t>
        </is>
      </c>
      <c r="E116" s="7" t="inlineStr">
        <is>
          <t>b. Técnico Superior. El grado de Técnico Superior en Contabilidad General se obtiene mediante el examen de grado técnico</t>
        </is>
      </c>
      <c r="F116" s="9" t="inlineStr">
        <is>
          <t>En proceso</t>
        </is>
      </c>
      <c r="G116" s="10" t="n"/>
    </row>
    <row r="117">
      <c r="A117" s="8" t="inlineStr">
        <is>
          <t>6.2.2</t>
        </is>
      </c>
      <c r="B117" s="7" t="inlineStr">
        <is>
          <t>Ortografía</t>
        </is>
      </c>
      <c r="C117" s="7" t="inlineStr">
        <is>
          <t xml:space="preserve">digital,  </t>
        </is>
      </c>
      <c r="D117" s="7" t="inlineStr">
        <is>
          <t>digital,</t>
        </is>
      </c>
      <c r="E117" s="7" t="inlineStr">
        <is>
          <t xml:space="preserve">Promover nuevos campos de investigación científica, especialmente aquellos que contribuyan a la construcción teórica de </t>
        </is>
      </c>
      <c r="F117" s="9" t="inlineStr">
        <is>
          <t>En proceso</t>
        </is>
      </c>
      <c r="G117" s="10" t="n"/>
    </row>
    <row r="118">
      <c r="A118" s="8" t="inlineStr">
        <is>
          <t>7.2</t>
        </is>
      </c>
      <c r="B118" s="7" t="inlineStr">
        <is>
          <t>Contenido duplicado eliminado</t>
        </is>
      </c>
      <c r="C118" s="7" t="inlineStr">
        <is>
          <t>7.2Políticas y líneas de extensión universitaria | 7.2.1Políticas | Educación continua. La Carrera ofrece programas para diversos públicos interesados en las ares contables y financieras que son temas transversales para la gestión. | Articulación con el postgrado. La oferta de extensión se articula con la Unidad de Postgrado y con la modalidad de graduación mediante diplomado del punto 5.4.2. | Di</t>
        </is>
      </c>
      <c r="D118" s="7" t="inlineStr">
        <is>
          <t>Se conserva la segunda versión de 7.2 y 7.2.1, que contiene y amplía todos los ítems de la primera</t>
        </is>
      </c>
      <c r="E118" s="7" t="inlineStr"/>
      <c r="F118" s="9" t="inlineStr">
        <is>
          <t>En proceso</t>
        </is>
      </c>
      <c r="G118" s="10" t="n"/>
    </row>
    <row r="119">
      <c r="A119" s="8" t="inlineStr">
        <is>
          <t>8.4</t>
        </is>
      </c>
      <c r="B119" s="7" t="inlineStr">
        <is>
          <t>Nombre de asignatura (malla definitiva)</t>
        </is>
      </c>
      <c r="C119" s="7" t="inlineStr">
        <is>
          <t>Álgebra Lineal y Programación Operativa Aplicada a los Negocios</t>
        </is>
      </c>
      <c r="D119" s="7" t="inlineStr">
        <is>
          <t>Álgebra Lineal y Modelación para Negocios</t>
        </is>
      </c>
      <c r="E119" s="7" t="inlineStr">
        <is>
          <t>Álgebra Lineal y Programación Operativa Aplicada a los Negocios</t>
        </is>
      </c>
      <c r="F119" s="9" t="inlineStr">
        <is>
          <t>En proceso</t>
        </is>
      </c>
      <c r="G119" s="10" t="n"/>
    </row>
    <row r="120">
      <c r="A120" s="8" t="inlineStr">
        <is>
          <t>8.4</t>
        </is>
      </c>
      <c r="B120" s="7" t="inlineStr">
        <is>
          <t>Nombre de asignatura (malla definitiva)</t>
        </is>
      </c>
      <c r="C120" s="7" t="inlineStr">
        <is>
          <t>Contabilidad y Presupuestos Gubernamental</t>
        </is>
      </c>
      <c r="D120" s="7" t="inlineStr">
        <is>
          <t>Presupuesto y Contabilidad Gubernamental</t>
        </is>
      </c>
      <c r="E120" s="7" t="inlineStr">
        <is>
          <t>Contabilidad y Presupuestos Gubernamental</t>
        </is>
      </c>
      <c r="F120" s="9" t="inlineStr">
        <is>
          <t>En proceso</t>
        </is>
      </c>
      <c r="G120" s="10" t="n"/>
    </row>
    <row r="121">
      <c r="A121" s="8" t="inlineStr">
        <is>
          <t>8.4</t>
        </is>
      </c>
      <c r="B121" s="7" t="inlineStr">
        <is>
          <t>Nombre de asignatura (malla definitiva)</t>
        </is>
      </c>
      <c r="C121" s="7" t="inlineStr">
        <is>
          <t>Auditoría Interna, Control Interno y Gestión de Riesgos</t>
        </is>
      </c>
      <c r="D121" s="7" t="inlineStr">
        <is>
          <t>Auditoría Interna, Control Interno, Gestión de Riesgos y Gobierno Corporativo</t>
        </is>
      </c>
      <c r="E121" s="7" t="inlineStr">
        <is>
          <t>Auditoría Interna, Control Interno y Gestión de Riesgos</t>
        </is>
      </c>
      <c r="F121" s="9" t="inlineStr">
        <is>
          <t>En proceso</t>
        </is>
      </c>
      <c r="G121" s="10" t="n"/>
    </row>
    <row r="122">
      <c r="A122" s="8" t="inlineStr">
        <is>
          <t>8.4</t>
        </is>
      </c>
      <c r="B122" s="7" t="inlineStr">
        <is>
          <t>Nombre de asignatura (malla definitiva)</t>
        </is>
      </c>
      <c r="C122" s="7" t="inlineStr">
        <is>
          <t>Auditoría de Proyectos Público y Privado</t>
        </is>
      </c>
      <c r="D122" s="7" t="inlineStr">
        <is>
          <t>Auditoría de Entidades Sin Fines de Lucro – Proyectos Privados y Públicos</t>
        </is>
      </c>
      <c r="E122" s="7" t="inlineStr">
        <is>
          <t>Auditoría de Proyectos Público y Privado</t>
        </is>
      </c>
      <c r="F122" s="9" t="inlineStr">
        <is>
          <t>En proceso</t>
        </is>
      </c>
      <c r="G122" s="10" t="n"/>
    </row>
    <row r="123">
      <c r="A123" s="8" t="inlineStr">
        <is>
          <t>8.4</t>
        </is>
      </c>
      <c r="B123" s="7" t="inlineStr">
        <is>
          <t>Nombre de asignatura (malla definitiva)</t>
        </is>
      </c>
      <c r="C123" s="7" t="inlineStr">
        <is>
          <t>Auditoría Forense, Peritaje y Prevención de Delitos Económicos</t>
        </is>
      </c>
      <c r="D123" s="7" t="inlineStr">
        <is>
          <t>Auditoría Forense y Prevención de Delitos Económicos</t>
        </is>
      </c>
      <c r="E123" s="7" t="inlineStr">
        <is>
          <t>Auditoría Forense, Peritaje y Prevención de Delitos Económicos</t>
        </is>
      </c>
      <c r="F123" s="9" t="inlineStr">
        <is>
          <t>En proceso</t>
        </is>
      </c>
      <c r="G123" s="10" t="n"/>
    </row>
    <row r="124">
      <c r="A124" s="8" t="inlineStr">
        <is>
          <t>8.6</t>
        </is>
      </c>
      <c r="B124" s="7" t="inlineStr">
        <is>
          <t>Numeración de cuadros</t>
        </is>
      </c>
      <c r="C124" s="7" t="inlineStr">
        <is>
          <t>Cuadro 5. Estudiantes inscritos por asignatura y paralelo</t>
        </is>
      </c>
      <c r="D124" s="7" t="inlineStr">
        <is>
          <t>Cuadro 6. Estudiantes inscritos por asignatura y paralelo</t>
        </is>
      </c>
      <c r="E124" s="7" t="inlineStr"/>
      <c r="F124" s="9" t="inlineStr">
        <is>
          <t>En proceso</t>
        </is>
      </c>
      <c r="G124" s="10" t="n"/>
    </row>
    <row r="125">
      <c r="A125" s="8" t="inlineStr">
        <is>
          <t>9.1.2</t>
        </is>
      </c>
      <c r="B125" s="7" t="inlineStr">
        <is>
          <t>Nombre de asignatura (malla definitiva)</t>
        </is>
      </c>
      <c r="C125" s="7" t="inlineStr">
        <is>
          <t>Álgebra Lineal y Programación Operativa Aplicada a los Negocios</t>
        </is>
      </c>
      <c r="D125" s="7" t="inlineStr">
        <is>
          <t>Álgebra Lineal y Modelación para Negocios</t>
        </is>
      </c>
      <c r="E125" s="7" t="inlineStr">
        <is>
          <t>Álgebra Lineal y Programación Operativa Aplicada a los Negocios</t>
        </is>
      </c>
      <c r="F125" s="9" t="inlineStr">
        <is>
          <t>En proceso</t>
        </is>
      </c>
      <c r="G125" s="10" t="n"/>
    </row>
    <row r="126">
      <c r="A126" s="8" t="inlineStr">
        <is>
          <t>9.1.2</t>
        </is>
      </c>
      <c r="B126" s="7" t="inlineStr">
        <is>
          <t>Nombre de asignatura (malla definitiva)</t>
        </is>
      </c>
      <c r="C126" s="7" t="inlineStr">
        <is>
          <t>Contabilidad y Presupuestos Gubernamental</t>
        </is>
      </c>
      <c r="D126" s="7" t="inlineStr">
        <is>
          <t>Presupuesto y Contabilidad Gubernamental</t>
        </is>
      </c>
      <c r="E126" s="7" t="inlineStr">
        <is>
          <t>Contabilidad y Presupuestos Gubernamental</t>
        </is>
      </c>
      <c r="F126" s="9" t="inlineStr">
        <is>
          <t>En proceso</t>
        </is>
      </c>
      <c r="G126" s="10" t="n"/>
    </row>
    <row r="127">
      <c r="A127" s="8" t="inlineStr">
        <is>
          <t>9.1.2</t>
        </is>
      </c>
      <c r="B127" s="7" t="inlineStr">
        <is>
          <t>Nombre de asignatura (malla definitiva)</t>
        </is>
      </c>
      <c r="C127" s="7" t="inlineStr">
        <is>
          <t>Auditoría Interna, Control Interno y Gestión de Riesgos</t>
        </is>
      </c>
      <c r="D127" s="7" t="inlineStr">
        <is>
          <t>Auditoría Interna, Control Interno, Gestión de Riesgos y Gobierno Corporativo</t>
        </is>
      </c>
      <c r="E127" s="7" t="inlineStr">
        <is>
          <t>Auditoría Interna, Control Interno y Gestión de Riesgos</t>
        </is>
      </c>
      <c r="F127" s="9" t="inlineStr">
        <is>
          <t>En proceso</t>
        </is>
      </c>
      <c r="G127" s="10" t="n"/>
    </row>
    <row r="128">
      <c r="A128" s="8" t="inlineStr">
        <is>
          <t>9.1.2</t>
        </is>
      </c>
      <c r="B128" s="7" t="inlineStr">
        <is>
          <t>Nombre de asignatura (malla definitiva)</t>
        </is>
      </c>
      <c r="C128" s="7" t="inlineStr">
        <is>
          <t>Auditoría de Proyectos Públicos y Privados</t>
        </is>
      </c>
      <c r="D128" s="7" t="inlineStr">
        <is>
          <t>Auditoría de Entidades Sin Fines de Lucro – Proyectos Privados y Públicos</t>
        </is>
      </c>
      <c r="E128" s="7" t="inlineStr">
        <is>
          <t>Auditoría de Proyectos Públicos y Privados</t>
        </is>
      </c>
      <c r="F128" s="9" t="inlineStr">
        <is>
          <t>En proceso</t>
        </is>
      </c>
      <c r="G128" s="10" t="n"/>
    </row>
    <row r="129">
      <c r="A129" s="8" t="inlineStr">
        <is>
          <t>9.1.2</t>
        </is>
      </c>
      <c r="B129" s="7" t="inlineStr">
        <is>
          <t>Nombre de asignatura (malla definitiva)</t>
        </is>
      </c>
      <c r="C129" s="7" t="inlineStr">
        <is>
          <t>Auditoría Forense, Peritaje y Prevención de Delitos Económicos</t>
        </is>
      </c>
      <c r="D129" s="7" t="inlineStr">
        <is>
          <t>Auditoría Forense y Prevención de Delitos Económicos</t>
        </is>
      </c>
      <c r="E129" s="7" t="inlineStr">
        <is>
          <t>Auditoría Forense, Peritaje y Prevención de Delitos Económicos</t>
        </is>
      </c>
      <c r="F129" s="9" t="inlineStr">
        <is>
          <t>En proceso</t>
        </is>
      </c>
      <c r="G129" s="10" t="n"/>
    </row>
    <row r="130">
      <c r="A130" s="8" t="inlineStr">
        <is>
          <t>9.1.2</t>
        </is>
      </c>
      <c r="B130" s="7" t="inlineStr">
        <is>
          <t>Ortografía</t>
        </is>
      </c>
      <c r="C130" s="7" t="inlineStr">
        <is>
          <t>Contaduría Publica</t>
        </is>
      </c>
      <c r="D130" s="7" t="inlineStr">
        <is>
          <t>Contaduría Pública</t>
        </is>
      </c>
      <c r="E130" s="7" t="inlineStr">
        <is>
          <t>La Carrera de Contaduría Publica actualmente cuenta con la siguiente bibliografía:</t>
        </is>
      </c>
      <c r="F130" s="9" t="inlineStr">
        <is>
          <t>En proceso</t>
        </is>
      </c>
      <c r="G130" s="10" t="n"/>
    </row>
    <row r="131">
      <c r="A131" s="8" t="inlineStr">
        <is>
          <t>10.4</t>
        </is>
      </c>
      <c r="B131" s="7" t="inlineStr">
        <is>
          <t>Datos de matrícula, gestión 2026</t>
        </is>
      </c>
      <c r="C131" s="7" t="inlineStr">
        <is>
          <t>Con 70 y 36 puestos, los laboratorios atienden simultáneamente a 106 estudiantes, frente a 3.143 estudiantes inscritos en 2025. Bajo el Rediseño Curricular, las asignaturas con componente tecnológico de cada año requerirán turnos de laboratorio en grupos reducidos, por lo que la capacidad de los lab</t>
        </is>
      </c>
      <c r="D131" s="7" t="inlineStr">
        <is>
          <t>Con 70 y 36 puestos, los laboratorios atienden simultáneamente a 106 estudiantes, frente a 3.116 estudiantes inscritos en 2026. Bajo el Rediseño Curricular, las asignaturas con componente tecnológico de cada año requerirán turnos de laboratorio en grupos reducidos, por lo que la capacidad de los lab</t>
        </is>
      </c>
      <c r="E131" s="7" t="inlineStr"/>
      <c r="F131" s="9" t="inlineStr">
        <is>
          <t>En proceso</t>
        </is>
      </c>
      <c r="G131" s="10" t="n"/>
    </row>
    <row r="132">
      <c r="A132" s="8" t="inlineStr">
        <is>
          <t>11</t>
        </is>
      </c>
      <c r="B132" s="7" t="inlineStr">
        <is>
          <t>Numeración de cuadros</t>
        </is>
      </c>
      <c r="C132" s="7" t="inlineStr">
        <is>
          <t>Cuadro 11. Requerimientos de recursos humanos</t>
        </is>
      </c>
      <c r="D132" s="7" t="inlineStr">
        <is>
          <t>Cuadro 9. Requerimientos de recursos humanos</t>
        </is>
      </c>
      <c r="E132" s="7" t="inlineStr"/>
      <c r="F132" s="9" t="inlineStr">
        <is>
          <t>En proceso</t>
        </is>
      </c>
      <c r="G132" s="10" t="n"/>
    </row>
    <row r="133">
      <c r="A133" s="8" t="inlineStr">
        <is>
          <t>11</t>
        </is>
      </c>
      <c r="B133" s="7" t="inlineStr">
        <is>
          <t>Numeración de cuadros</t>
        </is>
      </c>
      <c r="C133" s="7" t="inlineStr">
        <is>
          <t>Cuadro 12. Ejecución presupuestaria de gastos, 2020 a 2026</t>
        </is>
      </c>
      <c r="D133" s="7" t="inlineStr">
        <is>
          <t>Cuadro 10. Ejecución presupuestaria de gastos, 2020 a 2026</t>
        </is>
      </c>
      <c r="E133" s="7" t="inlineStr"/>
      <c r="F133" s="9" t="inlineStr">
        <is>
          <t>En proceso</t>
        </is>
      </c>
      <c r="G133" s="10" t="n"/>
    </row>
    <row r="134">
      <c r="A134" s="8" t="inlineStr">
        <is>
          <t>11</t>
        </is>
      </c>
      <c r="B134" s="7" t="inlineStr">
        <is>
          <t>Numeración de cuadros</t>
        </is>
      </c>
      <c r="C134" s="7" t="inlineStr">
        <is>
          <t>Cuadro 13. Fuentes de financiamiento complementario</t>
        </is>
      </c>
      <c r="D134" s="7" t="inlineStr">
        <is>
          <t>Cuadro 11. Fuentes de financiamiento complementario</t>
        </is>
      </c>
      <c r="E134" s="7" t="inlineStr"/>
      <c r="F134" s="9" t="inlineStr">
        <is>
          <t>En proceso</t>
        </is>
      </c>
      <c r="G134" s="10" t="n"/>
    </row>
    <row r="135">
      <c r="A135" s="8" t="inlineStr">
        <is>
          <t>11</t>
        </is>
      </c>
      <c r="B135" s="7" t="inlineStr">
        <is>
          <t>Numeración de cuadros</t>
        </is>
      </c>
      <c r="C135" s="7" t="inlineStr">
        <is>
          <t>Cuadro 14. Fases de implementación</t>
        </is>
      </c>
      <c r="D135" s="7" t="inlineStr">
        <is>
          <t>Cuadro 12. Fases de implementación</t>
        </is>
      </c>
      <c r="E135" s="7" t="inlineStr"/>
      <c r="F135" s="9" t="inlineStr">
        <is>
          <t>En proceso</t>
        </is>
      </c>
      <c r="G135" s="10" t="n"/>
    </row>
    <row r="136">
      <c r="A136" s="8" t="inlineStr">
        <is>
          <t>11</t>
        </is>
      </c>
      <c r="B136" s="7" t="inlineStr">
        <is>
          <t>Numeración de cuadros</t>
        </is>
      </c>
      <c r="C136" s="7" t="inlineStr">
        <is>
          <t>Cuadro 15. Riesgos de implementación y medidas de mitigación</t>
        </is>
      </c>
      <c r="D136" s="7" t="inlineStr">
        <is>
          <t>Cuadro 13. Riesgos de implementación y medidas de mitigación</t>
        </is>
      </c>
      <c r="E136" s="7" t="inlineStr"/>
      <c r="F136" s="9" t="inlineStr">
        <is>
          <t>En proceso</t>
        </is>
      </c>
      <c r="G136" s="10" t="n"/>
    </row>
    <row r="137">
      <c r="A137" s="8" t="inlineStr">
        <is>
          <t>11.1.1</t>
        </is>
      </c>
      <c r="B137" s="7" t="inlineStr">
        <is>
          <t>Datos de matrícula, gestión 2026</t>
        </is>
      </c>
      <c r="C137" s="7" t="inlineStr"/>
      <c r="D137" s="7" t="inlineStr">
        <is>
          <t>Columna 2026 agregada: 2026 | 4.296 | 3.116 | 1.180</t>
        </is>
      </c>
      <c r="E137" s="7" t="inlineStr"/>
      <c r="F137" s="9" t="inlineStr">
        <is>
          <t>En proceso</t>
        </is>
      </c>
      <c r="G137" s="10" t="n"/>
    </row>
    <row r="138">
      <c r="A138" s="8" t="inlineStr">
        <is>
          <t>11.1.1</t>
        </is>
      </c>
      <c r="B138" s="7" t="inlineStr">
        <is>
          <t>Datos de matrícula, gestión 2026</t>
        </is>
      </c>
      <c r="C138" s="7" t="inlineStr">
        <is>
          <t xml:space="preserve">Entre 2021 y 2025, los estudiantes matriculados disminuyeron en 8,97 %, mientras que los inscritos se mantuvieron estables, con una variación de 3.152 a 3.143. La diferencia corresponde a estudiantes que se matriculan pero no cursan asignaturas; aunque se redujo de 1.553 a 1.140, todavía representa </t>
        </is>
      </c>
      <c r="D138" s="7" t="inlineStr">
        <is>
          <t xml:space="preserve">Entre 2021 y 2026, los estudiantes matriculados disminuyeron en 8,69 %, mientras que los inscritos se mantuvieron estables, con una variación de 3.152 a 3.143. La diferencia corresponde a estudiantes que se matriculan pero no cursan asignaturas; aunque se redujo de 1.553 a 1.140, todavía representa </t>
        </is>
      </c>
      <c r="E138" s="7" t="inlineStr"/>
      <c r="F138" s="9" t="inlineStr">
        <is>
          <t>En proceso</t>
        </is>
      </c>
      <c r="G138" s="10" t="n"/>
    </row>
    <row r="139">
      <c r="A139" s="8" t="inlineStr">
        <is>
          <t>11.1.1</t>
        </is>
      </c>
      <c r="B139" s="7" t="inlineStr">
        <is>
          <t>Datos de matrícula, gestión 2026</t>
        </is>
      </c>
      <c r="C139" s="7" t="inlineStr">
        <is>
          <t xml:space="preserve">Entre 2021 y 2026, los estudiantes matriculados disminuyeron en 8,69 %, mientras que los inscritos se mantuvieron estables, con una variación de 3.152 a 3.143. La diferencia corresponde a estudiantes que se matriculan pero no cursan asignaturas; aunque se redujo de 1.553 a 1.140, todavía representa </t>
        </is>
      </c>
      <c r="D139" s="7" t="inlineStr">
        <is>
          <t xml:space="preserve">Entre 2021 y 2026, los estudiantes matriculados disminuyeron en 8,69 %, mientras que los inscritos se mantuvieron estables, con una variación de 3.152 a 3.116. La diferencia corresponde a estudiantes que se matriculan pero no cursan asignaturas; aunque se redujo de 1.553 a 1.140, todavía representa </t>
        </is>
      </c>
      <c r="E139" s="7" t="inlineStr"/>
      <c r="F139" s="9" t="inlineStr">
        <is>
          <t>En proceso</t>
        </is>
      </c>
      <c r="G139" s="10" t="n"/>
    </row>
    <row r="140">
      <c r="A140" s="8" t="inlineStr">
        <is>
          <t>11.1.1</t>
        </is>
      </c>
      <c r="B140" s="7" t="inlineStr">
        <is>
          <t>Datos de matrícula, gestión 2026</t>
        </is>
      </c>
      <c r="C140" s="7" t="inlineStr">
        <is>
          <t xml:space="preserve">Entre 2021 y 2026, los estudiantes matriculados disminuyeron en 8,69 %, mientras que los inscritos se mantuvieron estables, con una variación de 3.152 a 3.116. La diferencia corresponde a estudiantes que se matriculan pero no cursan asignaturas; aunque se redujo de 1.553 a 1.140, todavía representa </t>
        </is>
      </c>
      <c r="D140" s="7" t="inlineStr">
        <is>
          <t xml:space="preserve">Entre 2021 y 2026, los estudiantes matriculados disminuyeron en 8,69 %, mientras que los inscritos se mantuvieron estables, con una variación de 3.152 a 3.116. La diferencia corresponde a estudiantes que se matriculan pero no cursan asignaturas; aunque se redujo de 1.553 a 1.180, todavía representa </t>
        </is>
      </c>
      <c r="E140" s="7" t="inlineStr"/>
      <c r="F140" s="9" t="inlineStr">
        <is>
          <t>En proceso</t>
        </is>
      </c>
      <c r="G140" s="10" t="n"/>
    </row>
    <row r="141">
      <c r="A141" s="8" t="inlineStr">
        <is>
          <t>11.1.3</t>
        </is>
      </c>
      <c r="B141" s="7" t="inlineStr">
        <is>
          <t>Datos de matrícula, gestión 2026</t>
        </is>
      </c>
      <c r="C141" s="7" t="inlineStr">
        <is>
          <t>4.283 matriculados y 3.143 inscritos; 974 plazas en las aulas del Edificio Nava Morales; biblioteca con 90 plazas</t>
        </is>
      </c>
      <c r="D141" s="7" t="inlineStr">
        <is>
          <t>4.296 matriculados y 3.116 inscritos; 974 plazas en las aulas del Edificio Nava Morales; biblioteca con 90 plazas</t>
        </is>
      </c>
      <c r="E141" s="7" t="inlineStr"/>
      <c r="F141" s="9" t="inlineStr">
        <is>
          <t>En proceso</t>
        </is>
      </c>
      <c r="G141" s="10" t="n"/>
    </row>
    <row r="142">
      <c r="A142" s="8" t="inlineStr">
        <is>
          <t>11.1.4</t>
        </is>
      </c>
      <c r="B142" s="7" t="inlineStr">
        <is>
          <t>Ortografía</t>
        </is>
      </c>
      <c r="C142" s="7" t="inlineStr">
        <is>
          <t>especifico de un aula</t>
        </is>
      </c>
      <c r="D142" s="7" t="inlineStr">
        <is>
          <t>específico de un aula</t>
        </is>
      </c>
      <c r="E142" s="7" t="inlineStr">
        <is>
          <t>Equipamiento especifico de un aula para clases hibridas que permitan la conexión con estudiantes y/o docentes de forma r</t>
        </is>
      </c>
      <c r="F142" s="9" t="inlineStr">
        <is>
          <t>En proceso</t>
        </is>
      </c>
      <c r="G142" s="10" t="n"/>
    </row>
    <row r="143">
      <c r="A143" s="8" t="inlineStr">
        <is>
          <t>11.1.4</t>
        </is>
      </c>
      <c r="B143" s="7" t="inlineStr">
        <is>
          <t>Ortografía</t>
        </is>
      </c>
      <c r="C143" s="7" t="inlineStr">
        <is>
          <t>clases hibridas</t>
        </is>
      </c>
      <c r="D143" s="7" t="inlineStr">
        <is>
          <t>clases híbridas</t>
        </is>
      </c>
      <c r="E143" s="7" t="inlineStr">
        <is>
          <t>Equipamiento específico de un aula para clases hibridas que permitan la conexión con estudiantes y/o docentes de forma r</t>
        </is>
      </c>
      <c r="F143" s="9" t="inlineStr">
        <is>
          <t>En proceso</t>
        </is>
      </c>
      <c r="G143" s="10" t="n"/>
    </row>
    <row r="144">
      <c r="A144" s="8" t="inlineStr">
        <is>
          <t>11.1.4</t>
        </is>
      </c>
      <c r="B144" s="7" t="inlineStr">
        <is>
          <t>Ortografía</t>
        </is>
      </c>
      <c r="C144" s="7" t="inlineStr">
        <is>
          <t>auditoria</t>
        </is>
      </c>
      <c r="D144" s="7" t="inlineStr">
        <is>
          <t>auditoría</t>
        </is>
      </c>
      <c r="E144" s="7" t="inlineStr">
        <is>
          <t>Dotación de software de acuerdo a las necesidades del itinerario formativo, por ejemplo: Software de auditoria, Gestores</t>
        </is>
      </c>
      <c r="F144" s="9" t="inlineStr">
        <is>
          <t>En proceso</t>
        </is>
      </c>
      <c r="G144" s="10" t="n"/>
    </row>
    <row r="145">
      <c r="A145" s="8" t="inlineStr">
        <is>
          <t>11.1.4</t>
        </is>
      </c>
      <c r="B145" s="7" t="inlineStr">
        <is>
          <t>Ortografía</t>
        </is>
      </c>
      <c r="C145" s="7" t="inlineStr">
        <is>
          <t>Material Bibliografico</t>
        </is>
      </c>
      <c r="D145" s="7" t="inlineStr">
        <is>
          <t>Material Bibliográfico</t>
        </is>
      </c>
      <c r="E145" s="7" t="inlineStr">
        <is>
          <t>Material Bibliografico</t>
        </is>
      </c>
      <c r="F145" s="9" t="inlineStr">
        <is>
          <t>En proceso</t>
        </is>
      </c>
      <c r="G145" s="10" t="n"/>
    </row>
    <row r="146">
      <c r="A146" s="8" t="inlineStr">
        <is>
          <t>11.2.1</t>
        </is>
      </c>
      <c r="B146" s="7" t="inlineStr">
        <is>
          <t>Término: Área Contable y de Auditoría</t>
        </is>
      </c>
      <c r="C146" s="7" t="inlineStr">
        <is>
          <t>Como apoyo a la docencia, la Carrera cuenta con 79 ítems de auxiliares de docencia, que priorizan las asignaturas troncales. El Instituto de Investigaciones dispone de 320 horas mensuales y su Dirección se encuentra acéfala desde 2022. El personal administrativo suma 23 servidores, 10 de planta y 13</t>
        </is>
      </c>
      <c r="D146" s="7" t="inlineStr">
        <is>
          <t>Como apoyo a la docencia, la Carrera cuenta con 79 ítems de auxiliares de docencia, que priorizan las asignaturas del Área Contable y de Auditoría. El Instituto de Investigaciones dispone de 320 horas mensuales y su Dirección se encuentra acéfala desde 2022. El personal administrativo suma 23 servid</t>
        </is>
      </c>
      <c r="E146" s="7" t="inlineStr"/>
      <c r="F146" s="9" t="inlineStr">
        <is>
          <t>En proceso</t>
        </is>
      </c>
      <c r="G146" s="10" t="n"/>
    </row>
    <row r="147">
      <c r="A147" s="8" t="inlineStr">
        <is>
          <t>11.2.1</t>
        </is>
      </c>
      <c r="B147" s="7" t="inlineStr">
        <is>
          <t>Término: Contador Público</t>
        </is>
      </c>
      <c r="C147" s="7" t="inlineStr">
        <is>
          <t>Los datos muestran tres debilidades. Primero, más de la mitad de las designaciones corresponde a docentes interinos e invitados, lo que afecta la estabilidad pedagógica y la continuidad de la investigación y la interacción social. Segundo, el área de Servicios de Aseguramiento, núcleo profesional de</t>
        </is>
      </c>
      <c r="D147" s="7" t="inlineStr">
        <is>
          <t>Los datos muestran tres debilidades. Primero, más de la mitad de las designaciones corresponde a docentes interinos e invitados, lo que afecta la estabilidad pedagógica y la continuidad de la investigación y la interacción social. Segundo, el área de Servicios de Aseguramiento, núcleo profesional de</t>
        </is>
      </c>
      <c r="E147" s="7" t="inlineStr"/>
      <c r="F147" s="9" t="inlineStr">
        <is>
          <t>En proceso</t>
        </is>
      </c>
      <c r="G147" s="10" t="n"/>
    </row>
    <row r="148">
      <c r="A148" s="8" t="inlineStr">
        <is>
          <t>11.2.2</t>
        </is>
      </c>
      <c r="B148" s="7" t="inlineStr">
        <is>
          <t>Nombre de asignatura (malla definitiva)</t>
        </is>
      </c>
      <c r="C148" s="7" t="inlineStr">
        <is>
          <t>Herramientas Digitales</t>
        </is>
      </c>
      <c r="D148" s="7" t="inlineStr">
        <is>
          <t>Tecnologías de Información y Herramientas Digitales</t>
        </is>
      </c>
      <c r="E148" s="7" t="inlineStr">
        <is>
          <t>CPA-102 Herramientas Digitales y CPA-305 Sistemas ERP y Analítica: Licenciatura en Contaduría Pública / Auditoría con Tí</t>
        </is>
      </c>
      <c r="F148" s="9" t="inlineStr">
        <is>
          <t>En proceso</t>
        </is>
      </c>
      <c r="G148" s="10" t="n"/>
    </row>
    <row r="149">
      <c r="A149" s="8" t="inlineStr">
        <is>
          <t>11.2.2</t>
        </is>
      </c>
      <c r="B149" s="7" t="inlineStr">
        <is>
          <t>Nombre de asignatura (malla definitiva)</t>
        </is>
      </c>
      <c r="C149" s="7" t="inlineStr">
        <is>
          <t>Sistemas ERP y Analítica</t>
        </is>
      </c>
      <c r="D149" s="7" t="inlineStr">
        <is>
          <t>Sistemas Contables ERP y Análisis de Datos</t>
        </is>
      </c>
      <c r="E149" s="7" t="inlineStr">
        <is>
          <t>CPA-102 Tecnologías de Información y Herramientas Digitales y CPA-305 Sistemas ERP y Analítica: Licenciatura en Contadur</t>
        </is>
      </c>
      <c r="F149" s="9" t="inlineStr">
        <is>
          <t>En proceso</t>
        </is>
      </c>
      <c r="G149" s="10" t="n"/>
    </row>
    <row r="150">
      <c r="A150" s="8" t="inlineStr">
        <is>
          <t>11.2.2</t>
        </is>
      </c>
      <c r="B150" s="7" t="inlineStr">
        <is>
          <t>Nombre de asignatura (malla definitiva)</t>
        </is>
      </c>
      <c r="C150" s="7" t="inlineStr">
        <is>
          <t>Métodos de Investigación</t>
        </is>
      </c>
      <c r="D150" s="7" t="inlineStr">
        <is>
          <t>Métodos y Técnicas de Investigación</t>
        </is>
      </c>
      <c r="E150" s="7" t="inlineStr">
        <is>
          <t>CPA-204 Métodos de Investigación: Licenciatura en Contaduría Pública / Auditoría con Título en Provisión Nacional de Con</t>
        </is>
      </c>
      <c r="F150" s="9" t="inlineStr">
        <is>
          <t>En proceso</t>
        </is>
      </c>
      <c r="G150" s="10" t="n"/>
    </row>
    <row r="151">
      <c r="A151" s="8" t="inlineStr">
        <is>
          <t>11.2.2</t>
        </is>
      </c>
      <c r="B151" s="7" t="inlineStr">
        <is>
          <t>Nombre de asignatura (malla definitiva)</t>
        </is>
      </c>
      <c r="C151" s="7" t="inlineStr">
        <is>
          <t>Auditoría Digital y Ciberseguridad</t>
        </is>
      </c>
      <c r="D151" s="7" t="inlineStr">
        <is>
          <t>Auditoría Digital, Ciberseguridad y Tecnologías Emergentes</t>
        </is>
      </c>
      <c r="E151" s="7" t="inlineStr">
        <is>
          <t>CPA-505 Auditoría Digital y Ciberseguridad: Licenciatura en Contaduría Pública / Auditoría con Título en Provisión Nacio</t>
        </is>
      </c>
      <c r="F151" s="9" t="inlineStr">
        <is>
          <t>En proceso</t>
        </is>
      </c>
      <c r="G151" s="10" t="n"/>
    </row>
    <row r="152">
      <c r="A152" s="8" t="inlineStr">
        <is>
          <t>11.2.2</t>
        </is>
      </c>
      <c r="B152" s="7" t="inlineStr">
        <is>
          <t>Nombre de asignatura (malla definitiva)</t>
        </is>
      </c>
      <c r="C152" s="7" t="inlineStr">
        <is>
          <t>Reportes y Aseguramiento de Sostenibilidad</t>
        </is>
      </c>
      <c r="D152" s="7" t="inlineStr">
        <is>
          <t>Reportes y Aseguramiento de Sostenibilidad y Auditoría Ambiental</t>
        </is>
      </c>
      <c r="E152" s="7" t="inlineStr">
        <is>
          <t>CPA-506 Reportes y Aseguramiento de Sostenibilidad: Licenciatura en Contaduría Pública / Auditoría con Título en Provisi</t>
        </is>
      </c>
      <c r="F152" s="9" t="inlineStr">
        <is>
          <t>En proceso</t>
        </is>
      </c>
      <c r="G152" s="10" t="n"/>
    </row>
    <row r="153">
      <c r="A153" s="8" t="inlineStr">
        <is>
          <t>11.2.2</t>
        </is>
      </c>
      <c r="B153" s="7" t="inlineStr">
        <is>
          <t>Nombre de asignatura (malla definitiva)</t>
        </is>
      </c>
      <c r="C153" s="7" t="inlineStr">
        <is>
          <t>Auditoría Forense y Peritajes</t>
        </is>
      </c>
      <c r="D153" s="7" t="inlineStr">
        <is>
          <t>Auditoría Forense y Prevención de Delitos Económicos</t>
        </is>
      </c>
      <c r="E153" s="7" t="inlineStr">
        <is>
          <t>CPA-508 Auditoría Forense y Peritajes: Licenciatura en Contaduría Pública / Auditoría con Título en Provisión Nacional d</t>
        </is>
      </c>
      <c r="F153" s="9" t="inlineStr">
        <is>
          <t>En proceso</t>
        </is>
      </c>
      <c r="G153" s="10" t="n"/>
    </row>
    <row r="154">
      <c r="A154" s="8" t="inlineStr">
        <is>
          <t>11.2.2</t>
        </is>
      </c>
      <c r="B154" s="7" t="inlineStr">
        <is>
          <t>Ortografía</t>
        </is>
      </c>
      <c r="C154" s="7" t="inlineStr">
        <is>
          <t>Contador Publico</t>
        </is>
      </c>
      <c r="D154" s="7" t="inlineStr">
        <is>
          <t>Contador Público</t>
        </is>
      </c>
      <c r="E154" s="7" t="inlineStr">
        <is>
          <t>Licenciatura en Derecho con Título en Provisión Nacional de Abogado o Licenciatura en Contaduría Pública / Auditoria con</t>
        </is>
      </c>
      <c r="F154" s="9" t="inlineStr">
        <is>
          <t>En proceso</t>
        </is>
      </c>
      <c r="G154" s="10" t="n"/>
    </row>
    <row r="155">
      <c r="A155" s="8" t="inlineStr">
        <is>
          <t>11.2.2</t>
        </is>
      </c>
      <c r="B155" s="7" t="inlineStr">
        <is>
          <t>Ortografía</t>
        </is>
      </c>
      <c r="C155" s="7" t="inlineStr">
        <is>
          <t>Auditoria</t>
        </is>
      </c>
      <c r="D155" s="7" t="inlineStr">
        <is>
          <t>Auditoría</t>
        </is>
      </c>
      <c r="E155" s="7" t="inlineStr">
        <is>
          <t>Licenciatura en Derecho con Título en Provisión Nacional de Abogado o Licenciatura en Contaduría Pública / Auditoria con</t>
        </is>
      </c>
      <c r="F155" s="9" t="inlineStr">
        <is>
          <t>En proceso</t>
        </is>
      </c>
      <c r="G155" s="10" t="n"/>
    </row>
    <row r="156">
      <c r="A156" s="8" t="inlineStr">
        <is>
          <t>11.2.2</t>
        </is>
      </c>
      <c r="B156" s="7" t="inlineStr">
        <is>
          <t>Término: Rediseño Curricular</t>
        </is>
      </c>
      <c r="C156" s="7" t="inlineStr">
        <is>
          <t>Dada la naturaleza especializada de las seis áreas del conocimiento que conforman la malla curricular 2027 y en cumplimiento de las Normas IES 2 e IES 4 de la IFAC, del Reglamento de Acreditación de la UMSA (Resolución HCU Nº 443/2025) y de los estándares del CEUB, se establecen los siguientes perfi</t>
        </is>
      </c>
      <c r="D156" s="7" t="inlineStr">
        <is>
          <t>Dada la naturaleza especializada de las seis áreas del conocimiento que conforman la malla curricular del Rediseño Curricular y en cumplimiento de las Normas IES 2 e IES 4 de la IFAC, del Reglamento de Acreditación de la UMSA (Resolución HCU Nº 443/2025) y de los estándares del CEUB, se establecen l</t>
        </is>
      </c>
      <c r="E156" s="7" t="inlineStr"/>
      <c r="F156" s="9" t="inlineStr">
        <is>
          <t>En proceso</t>
        </is>
      </c>
      <c r="G156" s="10" t="n"/>
    </row>
    <row r="157">
      <c r="A157" s="8" t="inlineStr">
        <is>
          <t>11.3.1</t>
        </is>
      </c>
      <c r="B157" s="7" t="inlineStr">
        <is>
          <t>Término: Rediseño Curricular</t>
        </is>
      </c>
      <c r="C157" s="7" t="inlineStr">
        <is>
          <t>Para evaluar la capacidad financiera que respaldará la implementación del Plan 2027, se analizó la ejecución presupuestaria de gastos de la Carrera desde 2020:</t>
        </is>
      </c>
      <c r="D157" s="7" t="inlineStr">
        <is>
          <t>Para evaluar la capacidad financiera que respaldará la implementación del Rediseño Curricular, se analizó la ejecución presupuestaria de gastos de la Carrera desde 2020:</t>
        </is>
      </c>
      <c r="E157" s="7" t="inlineStr"/>
      <c r="F157" s="9" t="inlineStr">
        <is>
          <t>En proceso</t>
        </is>
      </c>
      <c r="G157" s="10" t="n"/>
    </row>
    <row r="158">
      <c r="A158" s="8" t="inlineStr">
        <is>
          <t>11.3.2</t>
        </is>
      </c>
      <c r="B158" s="7" t="inlineStr">
        <is>
          <t>Término: Rediseño Curricular</t>
        </is>
      </c>
      <c r="C158" s="7" t="inlineStr">
        <is>
          <t>La modernización curricular requiere recursos recurrentes para software especializado, actualización de laboratorios y ampliación de la carga horaria docente, que no pueden sostenerse con un presupuesto inercial y una ejecución baja. La política presupuestaria del Plan 2027 se rige por los siguiente</t>
        </is>
      </c>
      <c r="D158" s="7" t="inlineStr">
        <is>
          <t>La modernización curricular requiere recursos recurrentes para software especializado, actualización de laboratorios y ampliación de la carga horaria docente, que no pueden sostenerse con un presupuesto inercial y una ejecución baja. La política presupuestaria del Rediseño Curricular se rige por los</t>
        </is>
      </c>
      <c r="E158" s="7" t="inlineStr"/>
      <c r="F158" s="9" t="inlineStr">
        <is>
          <t>En proceso</t>
        </is>
      </c>
      <c r="G158" s="10" t="n"/>
    </row>
    <row r="159">
      <c r="A159" s="8" t="inlineStr">
        <is>
          <t>12.1</t>
        </is>
      </c>
      <c r="B159" s="7" t="inlineStr">
        <is>
          <t>Numeración de subpuntos</t>
        </is>
      </c>
      <c r="C159" s="7" t="inlineStr">
        <is>
          <t>12.1.3</t>
        </is>
      </c>
      <c r="D159" s="7" t="inlineStr">
        <is>
          <t>12.1.2</t>
        </is>
      </c>
      <c r="E159" s="7" t="inlineStr">
        <is>
          <t>12.1.3Componentes de la evaluación</t>
        </is>
      </c>
      <c r="F159" s="9" t="inlineStr">
        <is>
          <t>En proceso</t>
        </is>
      </c>
      <c r="G159" s="10" t="n"/>
    </row>
    <row r="160">
      <c r="A160" s="8" t="inlineStr">
        <is>
          <t>12.1</t>
        </is>
      </c>
      <c r="B160" s="7" t="inlineStr">
        <is>
          <t>Numeración de subpuntos</t>
        </is>
      </c>
      <c r="C160" s="7" t="inlineStr">
        <is>
          <t>12.1.5</t>
        </is>
      </c>
      <c r="D160" s="7" t="inlineStr">
        <is>
          <t>12.1.3</t>
        </is>
      </c>
      <c r="E160" s="7" t="inlineStr">
        <is>
          <t>12.1.5Dimensiones de la evaluación del plan de estudios</t>
        </is>
      </c>
      <c r="F160" s="9" t="inlineStr">
        <is>
          <t>En proceso</t>
        </is>
      </c>
      <c r="G160" s="10" t="n"/>
    </row>
    <row r="161">
      <c r="A161" s="8" t="inlineStr">
        <is>
          <t>12.1</t>
        </is>
      </c>
      <c r="B161" s="7" t="inlineStr">
        <is>
          <t>Numeración de subpuntos</t>
        </is>
      </c>
      <c r="C161" s="7" t="inlineStr">
        <is>
          <t>12.1.6</t>
        </is>
      </c>
      <c r="D161" s="7" t="inlineStr">
        <is>
          <t>12.1.4</t>
        </is>
      </c>
      <c r="E161" s="7" t="inlineStr">
        <is>
          <t>12.1.6Seguimiento del desarrollo curricular</t>
        </is>
      </c>
      <c r="F161" s="9" t="inlineStr">
        <is>
          <t>En proceso</t>
        </is>
      </c>
      <c r="G161" s="10" t="n"/>
    </row>
    <row r="162">
      <c r="A162" s="8" t="inlineStr">
        <is>
          <t>12.1</t>
        </is>
      </c>
      <c r="B162" s="7" t="inlineStr">
        <is>
          <t>Numeración de subpuntos</t>
        </is>
      </c>
      <c r="C162" s="7" t="inlineStr">
        <is>
          <t>12.1.7</t>
        </is>
      </c>
      <c r="D162" s="7" t="inlineStr">
        <is>
          <t>12.1.5</t>
        </is>
      </c>
      <c r="E162" s="7" t="inlineStr">
        <is>
          <t>12.1.7Mecanismos de seguimiento anual</t>
        </is>
      </c>
      <c r="F162" s="9" t="inlineStr">
        <is>
          <t>En proceso</t>
        </is>
      </c>
      <c r="G162" s="10" t="n"/>
    </row>
    <row r="163">
      <c r="A163" s="8" t="inlineStr">
        <is>
          <t>12.1</t>
        </is>
      </c>
      <c r="B163" s="7" t="inlineStr">
        <is>
          <t>Numeración de subpuntos</t>
        </is>
      </c>
      <c r="C163" s="7" t="inlineStr">
        <is>
          <t>12.1.9</t>
        </is>
      </c>
      <c r="D163" s="7" t="inlineStr">
        <is>
          <t>12.1.6</t>
        </is>
      </c>
      <c r="E163" s="7" t="inlineStr">
        <is>
          <t>12.1.9Evaluación del plan al concluir su implementación</t>
        </is>
      </c>
      <c r="F163" s="9" t="inlineStr">
        <is>
          <t>En proceso</t>
        </is>
      </c>
      <c r="G163" s="10" t="n"/>
    </row>
    <row r="164">
      <c r="A164" s="8" t="inlineStr">
        <is>
          <t>12.1</t>
        </is>
      </c>
      <c r="B164" s="7" t="inlineStr">
        <is>
          <t>Numeración de subpuntos</t>
        </is>
      </c>
      <c r="C164" s="7" t="inlineStr">
        <is>
          <t>12.1.10</t>
        </is>
      </c>
      <c r="D164" s="7" t="inlineStr">
        <is>
          <t>12.1.7</t>
        </is>
      </c>
      <c r="E164" s="7" t="inlineStr">
        <is>
          <t>12.1.10Responsables y uso de los resultados</t>
        </is>
      </c>
      <c r="F164" s="9" t="inlineStr">
        <is>
          <t>En proceso</t>
        </is>
      </c>
      <c r="G164" s="10" t="n"/>
    </row>
    <row r="165">
      <c r="A165" s="8" t="inlineStr">
        <is>
          <t>12.1.3</t>
        </is>
      </c>
      <c r="B165" s="7" t="inlineStr">
        <is>
          <t>Ortografía</t>
        </is>
      </c>
      <c r="C165" s="7" t="inlineStr">
        <is>
          <t>estudiantes  por</t>
        </is>
      </c>
      <c r="D165" s="7" t="inlineStr">
        <is>
          <t>estudiantes por</t>
        </is>
      </c>
      <c r="E165" s="7" t="inlineStr">
        <is>
          <t>Tasa de egreso en los cinco años previstos y con uno o dos años de rezago; tasa de titulación por cohorte; retención y a</t>
        </is>
      </c>
      <c r="F165" s="9" t="inlineStr">
        <is>
          <t>En proceso</t>
        </is>
      </c>
      <c r="G165" s="10" t="n"/>
    </row>
    <row r="166">
      <c r="A166" s="8" t="inlineStr">
        <is>
          <t>13</t>
        </is>
      </c>
      <c r="B166" s="7" t="inlineStr">
        <is>
          <t>Término: Rediseño Curricular</t>
        </is>
      </c>
      <c r="C166" s="7" t="inlineStr">
        <is>
          <t>Este punto identifica la normativa universitaria que rige el Plan de Estudios 2027, establece los reglamentos internos que la Carrera debe mantener, actualizar o elaborar para su implementación, y presenta el Reglamento de Modalidades de Graduación actualizado al nuevo plan y la reglamentación del I</t>
        </is>
      </c>
      <c r="D166" s="7" t="inlineStr">
        <is>
          <t>Este punto identifica la normativa universitaria que rige el Rediseño Curricular, establece los reglamentos internos que la Carrera debe mantener, actualizar o elaborar para su implementación, y presenta el Reglamento de Modalidades de Graduación actualizado al nuevo plan y la reglamentación del Ins</t>
        </is>
      </c>
      <c r="E166" s="7" t="inlineStr"/>
      <c r="F166" s="9" t="inlineStr">
        <is>
          <t>En proceso</t>
        </is>
      </c>
      <c r="G166" s="10" t="n"/>
    </row>
    <row r="167">
      <c r="A167" s="8" t="inlineStr">
        <is>
          <t>13.1.1</t>
        </is>
      </c>
      <c r="B167" s="7" t="inlineStr">
        <is>
          <t>Término: Rediseño Curricular</t>
        </is>
      </c>
      <c r="C167" s="7" t="inlineStr">
        <is>
          <t>Cuadro 1. Normativa universitaria aplicable al Plan 2027</t>
        </is>
      </c>
      <c r="D167" s="7" t="inlineStr">
        <is>
          <t>Cuadro 1. Normativa universitaria aplicable al Rediseño Curricular</t>
        </is>
      </c>
      <c r="E167" s="7" t="inlineStr"/>
      <c r="F167" s="9" t="inlineStr">
        <is>
          <t>En proceso</t>
        </is>
      </c>
      <c r="G167" s="10" t="n"/>
    </row>
    <row r="168">
      <c r="A168" s="8" t="inlineStr">
        <is>
          <t>13.1.2</t>
        </is>
      </c>
      <c r="B168" s="7" t="inlineStr">
        <is>
          <t>Referencia cruzada</t>
        </is>
      </c>
      <c r="C168" s="7" t="inlineStr">
        <is>
          <t>Puntos 4.7.5 y 5.3</t>
        </is>
      </c>
      <c r="D168" s="7" t="inlineStr">
        <is>
          <t>Puntos 5.3.3 y 5.3.4</t>
        </is>
      </c>
      <c r="E168" s="7" t="inlineStr">
        <is>
          <t>Puntos 4.7.5 y 5.3</t>
        </is>
      </c>
      <c r="F168" s="9" t="inlineStr">
        <is>
          <t>En proceso</t>
        </is>
      </c>
      <c r="G168" s="10" t="n"/>
    </row>
    <row r="169">
      <c r="A169" s="8" t="inlineStr">
        <is>
          <t>13.1.2</t>
        </is>
      </c>
      <c r="B169" s="7" t="inlineStr">
        <is>
          <t>Término: Rediseño Curricular</t>
        </is>
      </c>
      <c r="C169" s="7" t="inlineStr">
        <is>
          <t>La implementación del Plan 2027 requiere actualizar los reglamentos internos vigentes y elaborar los que exigen las innovaciones del plan. Los reglamentos internos vigentes forman parte del Manual de Funciones y Reglamentos de la Carrera, aprobado por la Resolución HCU N.º 139/2013 a partir de la Re</t>
        </is>
      </c>
      <c r="D169" s="7" t="inlineStr">
        <is>
          <t>La implementación del Rediseño Curricular requiere actualizar los reglamentos internos vigentes y elaborar los que exigen las innovaciones del plan. Los reglamentos internos vigentes forman parte del Manual de Funciones y Reglamentos de la Carrera, aprobado por la Resolución HCU N.º 139/2013 a parti</t>
        </is>
      </c>
      <c r="E169" s="7" t="inlineStr"/>
      <c r="F169" s="9" t="inlineStr">
        <is>
          <t>En proceso</t>
        </is>
      </c>
      <c r="G169" s="10" t="n"/>
    </row>
    <row r="170">
      <c r="A170" s="8" t="inlineStr">
        <is>
          <t>13.1.2</t>
        </is>
      </c>
      <c r="B170" s="7" t="inlineStr">
        <is>
          <t>Término: Rediseño Curricular</t>
        </is>
      </c>
      <c r="C170" s="7" t="inlineStr">
        <is>
          <t>Cuadro 2. Reglamentos internos para la implementación del Plan 2027</t>
        </is>
      </c>
      <c r="D170" s="7" t="inlineStr">
        <is>
          <t>Cuadro 2. Reglamentos internos para la implementación del Rediseño Curricular</t>
        </is>
      </c>
      <c r="E170" s="7" t="inlineStr"/>
      <c r="F170" s="9" t="inlineStr">
        <is>
          <t>En proceso</t>
        </is>
      </c>
      <c r="G170" s="10" t="n"/>
    </row>
    <row r="171">
      <c r="A171" s="8" t="inlineStr">
        <is>
          <t>13.1.3</t>
        </is>
      </c>
      <c r="B171" s="7" t="inlineStr">
        <is>
          <t>Referencia cruzada</t>
        </is>
      </c>
      <c r="C171" s="7" t="inlineStr">
        <is>
          <t>conforme al punto 4.7.5.</t>
        </is>
      </c>
      <c r="D171" s="7" t="inlineStr">
        <is>
          <t>conforme al punto 5.3.4.</t>
        </is>
      </c>
      <c r="E171" s="7" t="inlineStr">
        <is>
          <t xml:space="preserve">Las mesas de examen se rigen por la Resolución HCU N.º 352/2021, cuyo Artículo 8 las limita a las materias teóricas del </t>
        </is>
      </c>
      <c r="F171" s="9" t="inlineStr">
        <is>
          <t>En proceso</t>
        </is>
      </c>
      <c r="G171" s="10" t="n"/>
    </row>
    <row r="172">
      <c r="A172" s="8" t="inlineStr">
        <is>
          <t>13.1.3</t>
        </is>
      </c>
      <c r="B172" s="7" t="inlineStr">
        <is>
          <t>Término: Rediseño Curricular</t>
        </is>
      </c>
      <c r="C172" s="7" t="inlineStr">
        <is>
          <t>Los cursos de temporada se rigen por la Resolución HCU N.º 093/2006, cuyo Artículo 13 otorga a las carreras la tuición de elegir las asignaturas que se dictan, con la obligación de cubrir el 100 % de sus contenidos en teoría y en práctica, y cuyo Artículo 6 fija una duración mínima de 60 días calend</t>
        </is>
      </c>
      <c r="D172" s="7" t="inlineStr">
        <is>
          <t>Los cursos de temporada se rigen por la Resolución HCU N.º 093/2006, cuyo Artículo 13 otorga a las carreras la tuición de elegir las asignaturas que se dictan, con la obligación de cubrir el 100 % de sus contenidos en teoría y en práctica, y cuyo Artículo 6 fija una duración mínima de 60 días calend</t>
        </is>
      </c>
      <c r="E172" s="7" t="inlineStr"/>
      <c r="F172" s="9" t="inlineStr">
        <is>
          <t>En proceso</t>
        </is>
      </c>
      <c r="G172" s="10" t="n"/>
    </row>
    <row r="173">
      <c r="A173" s="8" t="inlineStr">
        <is>
          <t>13.1.3</t>
        </is>
      </c>
      <c r="B173" s="7" t="inlineStr">
        <is>
          <t>Término: Área Contable y de Auditoría y Área Contextual</t>
        </is>
      </c>
      <c r="C173" s="7" t="inlineStr">
        <is>
          <t>Los cursos de temporada se rigen por la Resolución HCU N.º 093/2006, cuyo Artículo 13 otorga a las carreras la tuición de elegir las asignaturas que se dictan, con la obligación de cubrir el 100 % de sus contenidos en teoría y en práctica, y cuyo Artículo 6 fija una duración mínima de 60 días calend</t>
        </is>
      </c>
      <c r="D173" s="7" t="inlineStr">
        <is>
          <t>Los cursos de temporada se rigen por la Resolución HCU N.º 093/2006, cuyo Artículo 13 otorga a las carreras la tuición de elegir las asignaturas que se dictan, con la obligación de cubrir el 100 % de sus contenidos en teoría y en práctica, y cuyo Artículo 6 fija una duración mínima de 60 días calend</t>
        </is>
      </c>
      <c r="E173" s="7" t="inlineStr"/>
      <c r="F173" s="9" t="inlineStr">
        <is>
          <t>En proceso</t>
        </is>
      </c>
      <c r="G173" s="10" t="n"/>
    </row>
    <row r="174">
      <c r="A174" s="8" t="inlineStr">
        <is>
          <t>13.1.4</t>
        </is>
      </c>
      <c r="B174" s="7" t="inlineStr">
        <is>
          <t>Término: Rediseño Curricular</t>
        </is>
      </c>
      <c r="C174" s="7" t="inlineStr">
        <is>
          <t>El presente Reglamento Específico de Modalidades de Graduación de la Carrera de Contaduría Pública entrará en vigencia plena a partir del día siguiente de su homologación y promulgación mediante Resolución del Honorable Consejo Facultativo de Ciencias Económicas y Financieras y del Honorable Consejo</t>
        </is>
      </c>
      <c r="D174" s="7" t="inlineStr">
        <is>
          <t>El presente Reglamento Específico de Modalidades de Graduación de la Carrera de Contaduría Pública entrará en vigencia plena a partir del día siguiente de su homologación y promulgación mediante Resolución del Honorable Consejo Facultativo de Ciencias Económicas y Financieras y del Honorable Consejo</t>
        </is>
      </c>
      <c r="E174" s="7" t="inlineStr"/>
      <c r="F174" s="9" t="inlineStr">
        <is>
          <t>En proceso</t>
        </is>
      </c>
      <c r="G174" s="10" t="n"/>
    </row>
    <row r="175">
      <c r="A175" s="8" t="inlineStr">
        <is>
          <t>13.1.4</t>
        </is>
      </c>
      <c r="B175" s="7" t="inlineStr">
        <is>
          <t>Término: Rediseño Curricular</t>
        </is>
      </c>
      <c r="C175" s="7" t="inlineStr">
        <is>
          <t>De conformidad con el Plan de Estudios 2027 y la estructura de titulación de la Carrera de Contaduría Pública, se otorgan y tramitan tres (3) niveles de titulación universitaria:</t>
        </is>
      </c>
      <c r="D175" s="7" t="inlineStr">
        <is>
          <t>De conformidad con el Rediseño Curricular y la estructura de titulación de la Carrera de Contaduría Pública, se otorgan y tramitan tres (3) niveles de titulación universitaria:</t>
        </is>
      </c>
      <c r="E175" s="7" t="inlineStr"/>
      <c r="F175" s="9" t="inlineStr">
        <is>
          <t>En proceso</t>
        </is>
      </c>
      <c r="G175" s="10" t="n"/>
    </row>
    <row r="176">
      <c r="A176" s="8" t="inlineStr">
        <is>
          <t>13.1.4</t>
        </is>
      </c>
      <c r="B176" s="7" t="inlineStr">
        <is>
          <t>Término: Rediseño Curricular</t>
        </is>
      </c>
      <c r="C176" s="7" t="inlineStr">
        <is>
          <t>En estricto apego al catálogo del Sistema de la Universidad Boliviana y al Plan de Estudios 2027, se reconocen oficialmente las siguientes modalidades:</t>
        </is>
      </c>
      <c r="D176" s="7" t="inlineStr">
        <is>
          <t>En estricto apego al catálogo del Sistema de la Universidad Boliviana y al Rediseño Curricular, se reconocen oficialmente las siguientes modalidades:</t>
        </is>
      </c>
      <c r="E176" s="7" t="inlineStr"/>
      <c r="F176" s="9" t="inlineStr">
        <is>
          <t>En proceso</t>
        </is>
      </c>
      <c r="G176" s="10" t="n"/>
    </row>
    <row r="177">
      <c r="A177" s="8" t="inlineStr">
        <is>
          <t>13.1.4</t>
        </is>
      </c>
      <c r="B177" s="7" t="inlineStr">
        <is>
          <t>Término: Rediseño Curricular</t>
        </is>
      </c>
      <c r="C177" s="7" t="inlineStr">
        <is>
          <t>Los estudiantes inscritos en planes de estudio anteriores (Plan 2013 o precedentes) que concluyan sus asignaturas durante el periodo de transición curricular mantendrán el derecho a graduarse bajo las modalidades vigentes al momento de su conclusión de estudios, o podrán acogerse voluntariamente a l</t>
        </is>
      </c>
      <c r="D177" s="7" t="inlineStr">
        <is>
          <t>Los estudiantes inscritos en planes de estudio anteriores (Plan 2013 o precedentes) que concluyan sus asignaturas durante el periodo de transición curricular mantendrán el derecho a graduarse bajo las modalidades vigentes al momento de su conclusión de estudios, o podrán acogerse voluntariamente a l</t>
        </is>
      </c>
      <c r="E177" s="7" t="inlineStr"/>
      <c r="F177" s="9" t="inlineStr">
        <is>
          <t>En proceso</t>
        </is>
      </c>
      <c r="G177" s="10" t="n"/>
    </row>
    <row r="178">
      <c r="A178" s="8" t="inlineStr">
        <is>
          <t>13.1.4</t>
        </is>
      </c>
      <c r="B178" s="7" t="inlineStr">
        <is>
          <t>Término: Área Contable y de Auditoría</t>
        </is>
      </c>
      <c r="C178" s="7" t="inlineStr">
        <is>
          <t>Examen de Grado Técnico Superior: Evaluación comprensiva sobre las ocho (8) asignaturas troncales del ciclo intermedio (Primer a Tercer año).</t>
        </is>
      </c>
      <c r="D178" s="7" t="inlineStr">
        <is>
          <t>Examen de Grado Técnico Superior: Evaluación comprensiva sobre las ocho (8) asignaturas del Área Contable y de Auditoría del ciclo intermedio (Primer a Tercer año).</t>
        </is>
      </c>
      <c r="E178" s="7" t="inlineStr"/>
      <c r="F178" s="9" t="inlineStr">
        <is>
          <t>En proceso</t>
        </is>
      </c>
      <c r="G178" s="10" t="n"/>
    </row>
    <row r="179">
      <c r="A179" s="8" t="inlineStr">
        <is>
          <t>13.1.4</t>
        </is>
      </c>
      <c r="B179" s="7" t="inlineStr">
        <is>
          <t>Término: Contador Público</t>
        </is>
      </c>
      <c r="C179" s="7" t="inlineStr">
        <is>
          <t>El Trabajo Dirigido es una modalidad de graduación que consiste en la ejecución de un trabajo práctico preprofesional, supervisado, fiscalizado y evaluado, desarrollado en instituciones públicas, empresas privadas o dependencias de la Universidad Mayor de San Andrés (UMSA). Su finalidad es aplicar l</t>
        </is>
      </c>
      <c r="D179" s="7" t="inlineStr">
        <is>
          <t>El Trabajo Dirigido es una modalidad de graduación que consiste en la ejecución de un trabajo práctico preprofesional, supervisado, fiscalizado y evaluado, desarrollado en instituciones públicas, empresas privadas o dependencias de la Universidad Mayor de San Andrés (UMSA). Su finalidad es aplicar l</t>
        </is>
      </c>
      <c r="E179" s="7" t="inlineStr"/>
      <c r="F179" s="9" t="inlineStr">
        <is>
          <t>En proceso</t>
        </is>
      </c>
      <c r="G179" s="10" t="n"/>
    </row>
    <row r="180">
      <c r="A180" s="8" t="inlineStr">
        <is>
          <t>13.1.4</t>
        </is>
      </c>
      <c r="B180" s="7" t="inlineStr">
        <is>
          <t>Reglamento de Modalidades de Graduación: ortografía o puntuación</t>
        </is>
      </c>
      <c r="C180" s="7" t="inlineStr">
        <is>
          <t>Él o los Docentes</t>
        </is>
      </c>
      <c r="D180" s="7" t="inlineStr">
        <is>
          <t>El o los Docentes</t>
        </is>
      </c>
      <c r="E180" s="7" t="inlineStr">
        <is>
          <t>4 vez/veces</t>
        </is>
      </c>
      <c r="F180" s="9" t="inlineStr">
        <is>
          <t>En proceso</t>
        </is>
      </c>
      <c r="G180" s="10" t="n"/>
    </row>
    <row r="181">
      <c r="A181" s="8" t="inlineStr">
        <is>
          <t>13.1.4</t>
        </is>
      </c>
      <c r="B181" s="7" t="inlineStr">
        <is>
          <t>Reglamento de Modalidades de Graduación: ortografía o puntuación</t>
        </is>
      </c>
      <c r="C181" s="7" t="inlineStr">
        <is>
          <t>la División, de Gestiones</t>
        </is>
      </c>
      <c r="D181" s="7" t="inlineStr">
        <is>
          <t>la División de Gestiones</t>
        </is>
      </c>
      <c r="E181" s="7" t="inlineStr">
        <is>
          <t>1 vez/veces</t>
        </is>
      </c>
      <c r="F181" s="9" t="inlineStr">
        <is>
          <t>En proceso</t>
        </is>
      </c>
      <c r="G181" s="10" t="n"/>
    </row>
    <row r="182">
      <c r="A182" s="8" t="inlineStr">
        <is>
          <t>13.1.4</t>
        </is>
      </c>
      <c r="B182" s="7" t="inlineStr">
        <is>
          <t>Reglamento de Modalidades de Graduación: ortografía o puntuación</t>
        </is>
      </c>
      <c r="C182" s="7" t="inlineStr">
        <is>
          <t>Facultad de Ciencia Económicas</t>
        </is>
      </c>
      <c r="D182" s="7" t="inlineStr">
        <is>
          <t>Facultad de Ciencias Económicas</t>
        </is>
      </c>
      <c r="E182" s="7" t="inlineStr">
        <is>
          <t>1 vez/veces</t>
        </is>
      </c>
      <c r="F182" s="9" t="inlineStr">
        <is>
          <t>En proceso</t>
        </is>
      </c>
      <c r="G182" s="10" t="n"/>
    </row>
    <row r="183">
      <c r="A183" s="8" t="inlineStr">
        <is>
          <t>13.1.4</t>
        </is>
      </c>
      <c r="B183" s="7" t="inlineStr">
        <is>
          <t>Reglamento de Modalidades de Graduación: ortografía o puntuación</t>
        </is>
      </c>
      <c r="C183" s="7" t="inlineStr">
        <is>
          <t>expedido la Unidad</t>
        </is>
      </c>
      <c r="D183" s="7" t="inlineStr">
        <is>
          <t>expedido por la Unidad</t>
        </is>
      </c>
      <c r="E183" s="7" t="inlineStr">
        <is>
          <t>1 vez/veces</t>
        </is>
      </c>
      <c r="F183" s="9" t="inlineStr">
        <is>
          <t>En proceso</t>
        </is>
      </c>
      <c r="G183" s="10" t="n"/>
    </row>
    <row r="184">
      <c r="A184" s="8" t="inlineStr">
        <is>
          <t>13.1.4</t>
        </is>
      </c>
      <c r="B184" s="7" t="inlineStr">
        <is>
          <t>Reglamento de Modalidades de Graduación: ortografía o puntuación</t>
        </is>
      </c>
      <c r="C184" s="7" t="inlineStr">
        <is>
          <t>En caso, de no existir</t>
        </is>
      </c>
      <c r="D184" s="7" t="inlineStr">
        <is>
          <t>En caso de no existir</t>
        </is>
      </c>
      <c r="E184" s="7" t="inlineStr">
        <is>
          <t>1 vez/veces</t>
        </is>
      </c>
      <c r="F184" s="9" t="inlineStr">
        <is>
          <t>En proceso</t>
        </is>
      </c>
      <c r="G184" s="10" t="n"/>
    </row>
    <row r="185">
      <c r="A185" s="8" t="inlineStr">
        <is>
          <t>13.1.4</t>
        </is>
      </c>
      <c r="B185" s="7" t="inlineStr">
        <is>
          <t>Reglamento de Modalidades de Graduación: ortografía o puntuación</t>
        </is>
      </c>
      <c r="C185" s="7" t="inlineStr">
        <is>
          <t>veintiún 21)</t>
        </is>
      </c>
      <c r="D185" s="7" t="inlineStr">
        <is>
          <t>veintiún (21)</t>
        </is>
      </c>
      <c r="E185" s="7" t="inlineStr">
        <is>
          <t>1 vez/veces</t>
        </is>
      </c>
      <c r="F185" s="9" t="inlineStr">
        <is>
          <t>En proceso</t>
        </is>
      </c>
      <c r="G185" s="10" t="n"/>
    </row>
    <row r="186">
      <c r="A186" s="8" t="inlineStr">
        <is>
          <t>13.1.4</t>
        </is>
      </c>
      <c r="B186" s="7" t="inlineStr">
        <is>
          <t>Reglamento de Modalidades de Graduación: ortografía o puntuación</t>
        </is>
      </c>
      <c r="C186" s="7" t="inlineStr">
        <is>
          <t>Kardex Académico:  Expedido</t>
        </is>
      </c>
      <c r="D186" s="7" t="inlineStr">
        <is>
          <t>Kardex Académico: Expedido</t>
        </is>
      </c>
      <c r="E186" s="7" t="inlineStr">
        <is>
          <t>1 vez/veces</t>
        </is>
      </c>
      <c r="F186" s="9" t="inlineStr">
        <is>
          <t>En proceso</t>
        </is>
      </c>
      <c r="G186" s="10" t="n"/>
    </row>
    <row r="187">
      <c r="A187" s="8" t="inlineStr">
        <is>
          <t>13.1.4</t>
        </is>
      </c>
      <c r="B187" s="7" t="inlineStr">
        <is>
          <t>Reglamento de Modalidades de Graduación: ortografía o puntuación</t>
        </is>
      </c>
      <c r="C187" s="7" t="inlineStr">
        <is>
          <t>Facultad de Ciencias Económicas, a lo largo</t>
        </is>
      </c>
      <c r="D187" s="7" t="inlineStr">
        <is>
          <t>Facultad de Ciencias Económicas), a lo largo</t>
        </is>
      </c>
      <c r="E187" s="7" t="inlineStr">
        <is>
          <t>1 vez/veces</t>
        </is>
      </c>
      <c r="F187" s="9" t="inlineStr">
        <is>
          <t>En proceso</t>
        </is>
      </c>
      <c r="G187" s="10" t="n"/>
    </row>
    <row r="188">
      <c r="A188" s="8" t="inlineStr">
        <is>
          <t>13.1.4</t>
        </is>
      </c>
      <c r="B188" s="7" t="inlineStr">
        <is>
          <t>Reglamento de Modalidades de Graduación: ortografía o puntuación</t>
        </is>
      </c>
      <c r="C188" s="7" t="inlineStr">
        <is>
          <t>Técnico Superior – Contador General</t>
        </is>
      </c>
      <c r="D188" s="7" t="inlineStr">
        <is>
          <t>Técnico Superior – Contador General)</t>
        </is>
      </c>
      <c r="E188" s="7" t="inlineStr">
        <is>
          <t>1 vez/veces</t>
        </is>
      </c>
      <c r="F188" s="9" t="inlineStr">
        <is>
          <t>En proceso</t>
        </is>
      </c>
      <c r="G188" s="10" t="n"/>
    </row>
    <row r="189">
      <c r="A189" s="8" t="inlineStr">
        <is>
          <t>13.1.4</t>
        </is>
      </c>
      <c r="B189" s="7" t="inlineStr">
        <is>
          <t>Reglamento de Modalidades de Graduación: nombre de asignatura o grado</t>
        </is>
      </c>
      <c r="C189" s="7" t="inlineStr">
        <is>
          <t>Auxiliar en Contabilidad General</t>
        </is>
      </c>
      <c r="D189" s="7" t="inlineStr">
        <is>
          <t>Auxiliar Contable</t>
        </is>
      </c>
      <c r="E189" s="7" t="inlineStr">
        <is>
          <t>1 vez/veces</t>
        </is>
      </c>
      <c r="F189" s="9" t="inlineStr">
        <is>
          <t>En proceso</t>
        </is>
      </c>
      <c r="G189" s="10" t="n"/>
    </row>
    <row r="190">
      <c r="A190" s="8" t="inlineStr">
        <is>
          <t>13.1.4</t>
        </is>
      </c>
      <c r="B190" s="7" t="inlineStr">
        <is>
          <t>Reglamento de Modalidades de Graduación: nombre de asignatura o grado</t>
        </is>
      </c>
      <c r="C190" s="7" t="inlineStr">
        <is>
          <t>Presupuestos y Contabilidad Gubernamental (CPA-304)</t>
        </is>
      </c>
      <c r="D190" s="7" t="inlineStr">
        <is>
          <t>Presupuesto y Contabilidad Gubernamental (CPA-304)</t>
        </is>
      </c>
      <c r="E190" s="7" t="inlineStr">
        <is>
          <t>1 vez/veces</t>
        </is>
      </c>
      <c r="F190" s="9" t="inlineStr">
        <is>
          <t>En proceso</t>
        </is>
      </c>
      <c r="G190" s="10" t="n"/>
    </row>
    <row r="191">
      <c r="A191" s="8" t="inlineStr">
        <is>
          <t>13.1.4</t>
        </is>
      </c>
      <c r="B191" s="7" t="inlineStr">
        <is>
          <t>Reglamento de Modalidades de Graduación: nombre de asignatura o grado</t>
        </is>
      </c>
      <c r="C191" s="7" t="inlineStr">
        <is>
          <t>Contabilidad y Presupuestos Gubernamental</t>
        </is>
      </c>
      <c r="D191" s="7" t="inlineStr">
        <is>
          <t>Presupuesto y Contabilidad Gubernamental</t>
        </is>
      </c>
      <c r="E191" s="7" t="inlineStr">
        <is>
          <t>1 vez/veces</t>
        </is>
      </c>
      <c r="F191" s="9" t="inlineStr">
        <is>
          <t>En proceso</t>
        </is>
      </c>
      <c r="G191" s="10" t="n"/>
    </row>
    <row r="192">
      <c r="A192" s="8" t="inlineStr">
        <is>
          <t>13.1.4</t>
        </is>
      </c>
      <c r="B192" s="7" t="inlineStr">
        <is>
          <t>Reglamento de Modalidades de Graduación: nombre de asignatura o grado</t>
        </is>
      </c>
      <c r="C192" s="7" t="inlineStr">
        <is>
          <t>Auditoría Interna, Control Interno y Gestión de Riesgos (CPA-408)</t>
        </is>
      </c>
      <c r="D192" s="7" t="inlineStr">
        <is>
          <t>Auditoría Interna, Control Interno, Gestión de Riesgos y Gobierno Corporativo (CPA-408)</t>
        </is>
      </c>
      <c r="E192" s="7" t="inlineStr">
        <is>
          <t>1 vez/veces</t>
        </is>
      </c>
      <c r="F192" s="9" t="inlineStr">
        <is>
          <t>En proceso</t>
        </is>
      </c>
      <c r="G192" s="10" t="n"/>
    </row>
    <row r="193">
      <c r="A193" s="8" t="inlineStr">
        <is>
          <t>13.1.4</t>
        </is>
      </c>
      <c r="B193" s="7" t="inlineStr">
        <is>
          <t>Reglamento de Modalidades de Graduación: nombre de asignatura o grado</t>
        </is>
      </c>
      <c r="C193" s="7" t="inlineStr">
        <is>
          <t>Auditoría de Proyectos: Público y Privado (CPA-507)</t>
        </is>
      </c>
      <c r="D193" s="7" t="inlineStr">
        <is>
          <t>Auditoría de Entidades Sin Fines de Lucro – Proyectos Privados y Públicos (CPA-507)</t>
        </is>
      </c>
      <c r="E193" s="7" t="inlineStr">
        <is>
          <t>1 vez/veces</t>
        </is>
      </c>
      <c r="F193" s="9" t="inlineStr">
        <is>
          <t>En proceso</t>
        </is>
      </c>
      <c r="G193" s="10" t="n"/>
    </row>
    <row r="194">
      <c r="A194" s="8" t="inlineStr">
        <is>
          <t>13.1.4</t>
        </is>
      </c>
      <c r="B194" s="7" t="inlineStr">
        <is>
          <t>Reglamento de Modalidades de Graduación: nombre de asignatura o grado</t>
        </is>
      </c>
      <c r="C194" s="7" t="inlineStr">
        <is>
          <t>Auditoría de Entidades Financieras (CPA-509)</t>
        </is>
      </c>
      <c r="D194" s="7" t="inlineStr">
        <is>
          <t>Auditoría de Entidades Financieras y Servicios Relacionados (CPA-509)</t>
        </is>
      </c>
      <c r="E194" s="7" t="inlineStr">
        <is>
          <t>1 vez/veces</t>
        </is>
      </c>
      <c r="F194" s="9" t="inlineStr">
        <is>
          <t>En proceso</t>
        </is>
      </c>
      <c r="G194" s="10" t="n"/>
    </row>
    <row r="195">
      <c r="A195" s="8" t="inlineStr">
        <is>
          <t>13.1.4</t>
        </is>
      </c>
      <c r="B195" s="7" t="inlineStr">
        <is>
          <t>Reglamento de Modalidades de Graduación</t>
        </is>
      </c>
      <c r="C195" s="7" t="inlineStr">
        <is>
          <t>Texto anterior del punto 13.1.4 (83 párrafos y tablas: 46 artículos en 6 capítulos)</t>
        </is>
      </c>
      <c r="D195" s="7" t="inlineStr">
        <is>
          <t>Reemplazado por el Reglamento de Modalidades de Graduación íntegro (Capítulos I a X, Artículos 1 a 90 y 87-Bis, Disposiciones Transitorias y Finales), con el formato del documento</t>
        </is>
      </c>
      <c r="E195" s="7" t="inlineStr"/>
      <c r="F195" s="9" t="inlineStr">
        <is>
          <t>En proceso</t>
        </is>
      </c>
      <c r="G195" s="10" t="n"/>
    </row>
    <row r="196">
      <c r="A196" s="8" t="inlineStr">
        <is>
          <t>13.1.4</t>
        </is>
      </c>
      <c r="B196" s="7" t="inlineStr">
        <is>
          <t>Reglamento de Modalidades de Graduación</t>
        </is>
      </c>
      <c r="C196" s="7" t="inlineStr">
        <is>
          <t>Párrafos partidos en el original (Art. 47 «, estando obligado…» y ponderación del Art. 55 en cinco líneas)</t>
        </is>
      </c>
      <c r="D196" s="7" t="inlineStr">
        <is>
          <t>Unidos en un solo párrafo cada uno</t>
        </is>
      </c>
      <c r="E196" s="7" t="inlineStr"/>
      <c r="F196" s="9" t="inlineStr">
        <is>
          <t>En proceso</t>
        </is>
      </c>
      <c r="G196" s="10" t="n"/>
    </row>
    <row r="197">
      <c r="A197" s="8" t="inlineStr">
        <is>
          <t>13.2.2</t>
        </is>
      </c>
      <c r="B197" s="7" t="inlineStr">
        <is>
          <t>Numeración de cuadros</t>
        </is>
      </c>
      <c r="C197" s="7" t="inlineStr">
        <is>
          <t>Cuadro 6. Lineamientos del reglamento interno del Instituto de Investigaciones</t>
        </is>
      </c>
      <c r="D197" s="7" t="inlineStr">
        <is>
          <t>Cuadro 3. Lineamientos del reglamento interno del Instituto de Investigaciones</t>
        </is>
      </c>
      <c r="E197" s="7" t="inlineStr"/>
      <c r="F197" s="9" t="inlineStr">
        <is>
          <t>En proceso</t>
        </is>
      </c>
      <c r="G197" s="10" t="n"/>
    </row>
    <row r="198">
      <c r="A198" s="8" t="inlineStr">
        <is>
          <t>13.2.2</t>
        </is>
      </c>
      <c r="B198" s="7" t="inlineStr">
        <is>
          <t>Término: Rediseño Curricular</t>
        </is>
      </c>
      <c r="C198" s="7" t="inlineStr">
        <is>
          <t>El reglamento interno del Instituto se actualizará para articularlo con el Plan 2027 con base en los siguientes lineamientos:</t>
        </is>
      </c>
      <c r="D198" s="7" t="inlineStr">
        <is>
          <t>El reglamento interno del Instituto se actualizará para articularlo con el Rediseño Curricular con base en los siguientes lineamientos:</t>
        </is>
      </c>
      <c r="E198" s="7" t="inlineStr"/>
      <c r="F198" s="9" t="inlineStr">
        <is>
          <t>En proceso</t>
        </is>
      </c>
      <c r="G198" s="10" t="n"/>
    </row>
    <row r="199">
      <c r="A199" s="8" t="inlineStr">
        <is>
          <t>14.4</t>
        </is>
      </c>
      <c r="B199" s="7" t="inlineStr">
        <is>
          <t>Datos de matrícula, gestión 2026</t>
        </is>
      </c>
      <c r="C199" s="7" t="inlineStr">
        <is>
          <t>La sala de lectura ofrece 0,57 m² por usuario a plena capacidad y 90 plazas para 3.143 estudiantes inscritos. Cuenta con dos cámaras de seguridad y aire acondicionado. El acervo de 6.173 libros y 2.821 trabajos académicos, el sistema KOHA, el repositorio institucional y el acceso a bases de datos se</t>
        </is>
      </c>
      <c r="D199" s="7" t="inlineStr">
        <is>
          <t>La sala de lectura ofrece 0,57 m² por usuario a plena capacidad y 90 plazas para 3.116 estudiantes inscritos. Cuenta con dos cámaras de seguridad y aire acondicionado. El acervo de 6.173 libros y 2.821 trabajos académicos, el sistema KOHA, el repositorio institucional y el acceso a bases de datos se</t>
        </is>
      </c>
      <c r="E199" s="7" t="inlineStr"/>
      <c r="F199" s="9" t="inlineStr">
        <is>
          <t>En proceso</t>
        </is>
      </c>
      <c r="G199" s="10" t="n"/>
    </row>
    <row r="200">
      <c r="A200" s="8" t="inlineStr">
        <is>
          <t>14.9.1</t>
        </is>
      </c>
      <c r="B200" s="7" t="inlineStr">
        <is>
          <t>Datos de matrícula, gestión 2026</t>
        </is>
      </c>
      <c r="C200" s="7" t="inlineStr">
        <is>
          <t>Frente a 4.283 estudiantes matriculados y 3.143 inscritos, la infraestructura de la Carrera es insuficiente: las aulas de los primeros años están saturadas, los laboratorios atienden simultáneamente a 106 estudiantes, la sala de lectura ofrece 90 plazas y la sala de docentes, 18. La dispersión entre</t>
        </is>
      </c>
      <c r="D200" s="7" t="inlineStr">
        <is>
          <t>Frente a 4.296 estudiantes matriculados y 3.116 inscritos, la infraestructura de la Carrera es insuficiente: las aulas de los primeros años están saturadas, los laboratorios atienden simultáneamente a 106 estudiantes, la sala de lectura ofrece 90 plazas y la sala de docentes, 18. La dispersión entre</t>
        </is>
      </c>
      <c r="E200" s="7" t="inlineStr"/>
      <c r="F200" s="9" t="inlineStr">
        <is>
          <t>En proceso</t>
        </is>
      </c>
      <c r="G200" s="10" t="n"/>
    </row>
    <row r="201">
      <c r="A201" s="8" t="inlineStr">
        <is>
          <t>16</t>
        </is>
      </c>
      <c r="B201" s="7" t="inlineStr">
        <is>
          <t>Término: Rediseño Curricular</t>
        </is>
      </c>
      <c r="C201" s="7" t="inlineStr">
        <is>
          <t>Este punto establece las reglas para el tránsito del Plan de Estudios 2013, aprobado mediante las Resoluciones HCC N.º 162/2012, HCF N.º 929/2012 y HCU N.º 025/2013, al Plan de Estudios 2027: el cuadro de convalidación y homologación de asignaturas para estudiantes y docentes, el plan de implementac</t>
        </is>
      </c>
      <c r="D201" s="7" t="inlineStr">
        <is>
          <t>Este punto establece las reglas para el tránsito del Plan de Estudios 2013, aprobado mediante las Resoluciones HCC N.º 162/2012, HCF N.º 929/2012 y HCU N.º 025/2013, al Rediseño Curricular: el cuadro de convalidación y homologación de asignaturas para estudiantes y docentes, el plan de implementació</t>
        </is>
      </c>
      <c r="E201" s="7" t="inlineStr"/>
      <c r="F201" s="9" t="inlineStr">
        <is>
          <t>En proceso</t>
        </is>
      </c>
      <c r="G201" s="10" t="n"/>
    </row>
    <row r="202">
      <c r="A202" s="8" t="inlineStr">
        <is>
          <t>16.1.1</t>
        </is>
      </c>
      <c r="B202" s="7" t="inlineStr">
        <is>
          <t>Término: Rediseño Curricular</t>
        </is>
      </c>
      <c r="C202" s="7" t="inlineStr">
        <is>
          <t>Respeto a los derechos adquiridos de los estudiantes. Toda asignatura aprobada en el Plan 2013 conserva su validez y se reconoce en el Plan 2027 mediante homologación o convalidación.</t>
        </is>
      </c>
      <c r="D202" s="7" t="inlineStr">
        <is>
          <t>Respeto a los derechos adquiridos de los estudiantes. Toda asignatura aprobada en el Plan 2013 conserva su validez y se reconoce en el Rediseño Curricular mediante homologación o convalidación.</t>
        </is>
      </c>
      <c r="E202" s="7" t="inlineStr"/>
      <c r="F202" s="9" t="inlineStr">
        <is>
          <t>En proceso</t>
        </is>
      </c>
      <c r="G202" s="10" t="n"/>
    </row>
    <row r="203">
      <c r="A203" s="8" t="inlineStr">
        <is>
          <t>16.1.1</t>
        </is>
      </c>
      <c r="B203" s="7" t="inlineStr">
        <is>
          <t>Término: Rediseño Curricular</t>
        </is>
      </c>
      <c r="C203" s="7" t="inlineStr">
        <is>
          <t>Respeto a los derechos adquiridos de los docentes. Se garantiza la titularidad obtenida por concurso de méritos y examen de competencia en el Plan 2013, con la asignación de la cátedra equivalente en el Plan 2027.</t>
        </is>
      </c>
      <c r="D203" s="7" t="inlineStr">
        <is>
          <t>Respeto a los derechos adquiridos de los docentes. Se garantiza la titularidad obtenida por concurso de méritos y examen de competencia en el Plan 2013, con la asignación de la cátedra equivalente en el Rediseño Curricular.</t>
        </is>
      </c>
      <c r="E203" s="7" t="inlineStr"/>
      <c r="F203" s="9" t="inlineStr">
        <is>
          <t>En proceso</t>
        </is>
      </c>
      <c r="G203" s="10" t="n"/>
    </row>
    <row r="204">
      <c r="A204" s="8" t="inlineStr">
        <is>
          <t>16.1.1</t>
        </is>
      </c>
      <c r="B204" s="7" t="inlineStr">
        <is>
          <t>Término: Rediseño Curricular</t>
        </is>
      </c>
      <c r="C204" s="7" t="inlineStr">
        <is>
          <t>Implantación gradual. El Plan 2027 se aplica año por año desde 2027, y el Plan 2013 se extingue de forma progresiva conforme al punto 16.3.</t>
        </is>
      </c>
      <c r="D204" s="7" t="inlineStr">
        <is>
          <t>Implantación gradual. El Rediseño Curricular se aplica año por año desde 2027, y el Plan 2013 se extingue de forma progresiva conforme al punto 16.3.</t>
        </is>
      </c>
      <c r="E204" s="7" t="inlineStr"/>
      <c r="F204" s="9" t="inlineStr">
        <is>
          <t>En proceso</t>
        </is>
      </c>
      <c r="G204" s="10" t="n"/>
    </row>
    <row r="205">
      <c r="A205" s="8" t="inlineStr">
        <is>
          <t>16.1.3</t>
        </is>
      </c>
      <c r="B205" s="7" t="inlineStr">
        <is>
          <t>Nombre de asignatura (malla definitiva)</t>
        </is>
      </c>
      <c r="C205" s="7" t="inlineStr">
        <is>
          <t>Álgebra Lineal y Programación Operativa Aplicada a los Negocios</t>
        </is>
      </c>
      <c r="D205" s="7" t="inlineStr">
        <is>
          <t>Álgebra Lineal y Modelación para Negocios</t>
        </is>
      </c>
      <c r="E205" s="7" t="inlineStr">
        <is>
          <t>MAT-201 Álgebra Lineal y Programación Operativa Aplicada a los Negocios</t>
        </is>
      </c>
      <c r="F205" s="9" t="inlineStr">
        <is>
          <t>En proceso</t>
        </is>
      </c>
      <c r="G205" s="10" t="n"/>
    </row>
    <row r="206">
      <c r="A206" s="8" t="inlineStr">
        <is>
          <t>16.1.3</t>
        </is>
      </c>
      <c r="B206" s="7" t="inlineStr">
        <is>
          <t>Nombre de asignatura (malla definitiva)</t>
        </is>
      </c>
      <c r="C206" s="7" t="inlineStr">
        <is>
          <t>Contabilidad y Presupuestos Gubernamental</t>
        </is>
      </c>
      <c r="D206" s="7" t="inlineStr">
        <is>
          <t>Presupuesto y Contabilidad Gubernamental</t>
        </is>
      </c>
      <c r="E206" s="7" t="inlineStr">
        <is>
          <t>CPA-304 Contabilidad y Presupuestos Gubernamental</t>
        </is>
      </c>
      <c r="F206" s="9" t="inlineStr">
        <is>
          <t>En proceso</t>
        </is>
      </c>
      <c r="G206" s="10" t="n"/>
    </row>
    <row r="207">
      <c r="A207" s="8" t="inlineStr">
        <is>
          <t>16.1.3</t>
        </is>
      </c>
      <c r="B207" s="7" t="inlineStr">
        <is>
          <t>Nombre de asignatura (malla definitiva)</t>
        </is>
      </c>
      <c r="C207" s="7" t="inlineStr">
        <is>
          <t>Auditoría Interna, Control Interno y Gestión de Riesgos</t>
        </is>
      </c>
      <c r="D207" s="7" t="inlineStr">
        <is>
          <t>Auditoría Interna, Control Interno, Gestión de Riesgos y Gobierno Corporativo</t>
        </is>
      </c>
      <c r="E207" s="7" t="inlineStr">
        <is>
          <t>CPA-408 Auditoría Interna, Control Interno y Gestión de Riesgos</t>
        </is>
      </c>
      <c r="F207" s="9" t="inlineStr">
        <is>
          <t>En proceso</t>
        </is>
      </c>
      <c r="G207" s="10" t="n"/>
    </row>
    <row r="208">
      <c r="A208" s="8" t="inlineStr">
        <is>
          <t>16.1.3</t>
        </is>
      </c>
      <c r="B208" s="7" t="inlineStr">
        <is>
          <t>Nombre de asignatura (malla definitiva)</t>
        </is>
      </c>
      <c r="C208" s="7" t="inlineStr">
        <is>
          <t>Auditoría de Proyectos Públicos y Privados</t>
        </is>
      </c>
      <c r="D208" s="7" t="inlineStr">
        <is>
          <t>Auditoría de Entidades Sin Fines de Lucro – Proyectos Privados y Públicos</t>
        </is>
      </c>
      <c r="E208" s="7" t="inlineStr">
        <is>
          <t>CPA-507 Auditoría de Proyectos Públicos y Privados</t>
        </is>
      </c>
      <c r="F208" s="9" t="inlineStr">
        <is>
          <t>En proceso</t>
        </is>
      </c>
      <c r="G208" s="10" t="n"/>
    </row>
    <row r="209">
      <c r="A209" s="8" t="inlineStr">
        <is>
          <t>16.1.3</t>
        </is>
      </c>
      <c r="B209" s="7" t="inlineStr">
        <is>
          <t>Nombre de asignatura (malla definitiva)</t>
        </is>
      </c>
      <c r="C209" s="7" t="inlineStr">
        <is>
          <t>Auditoría Forense, Peritaje y Prevención de Delitos Económicos</t>
        </is>
      </c>
      <c r="D209" s="7" t="inlineStr">
        <is>
          <t>Auditoría Forense y Prevención de Delitos Económicos</t>
        </is>
      </c>
      <c r="E209" s="7" t="inlineStr">
        <is>
          <t>CPA-508 Auditoría Forense, Peritaje y Prevención de Delitos Económicos</t>
        </is>
      </c>
      <c r="F209" s="9" t="inlineStr">
        <is>
          <t>En proceso</t>
        </is>
      </c>
      <c r="G209" s="10" t="n"/>
    </row>
    <row r="210">
      <c r="A210" s="8" t="inlineStr">
        <is>
          <t>16.1.3</t>
        </is>
      </c>
      <c r="B210" s="7" t="inlineStr">
        <is>
          <t>Término: Rediseño Curricular</t>
        </is>
      </c>
      <c r="C210" s="7" t="inlineStr">
        <is>
          <t>16.1.3Cuadro de equivalencias entre el Plan 2013 y el Plan 2027</t>
        </is>
      </c>
      <c r="D210" s="7" t="inlineStr">
        <is>
          <t>16.1.3Cuadro de equivalencias entre el Plan 2013 y el Plan 2027</t>
        </is>
      </c>
      <c r="E210" s="7" t="inlineStr"/>
      <c r="F210" s="9" t="inlineStr">
        <is>
          <t>En proceso</t>
        </is>
      </c>
      <c r="G210" s="10" t="n"/>
    </row>
    <row r="211">
      <c r="A211" s="8" t="inlineStr">
        <is>
          <t>16.1.3</t>
        </is>
      </c>
      <c r="B211" s="7" t="inlineStr">
        <is>
          <t>Término: Rediseño Curricular</t>
        </is>
      </c>
      <c r="C211" s="7" t="inlineStr">
        <is>
          <t>El siguiente cuadro rige para los estudiantes, que obtienen el reconocimiento de las asignaturas aprobadas, y para los docentes titulares, que obtienen la homologación de su cátedra en la asignatura equivalente. Las 43 asignaturas del Plan 2013 tienen equivalente en el Plan 2027:</t>
        </is>
      </c>
      <c r="D211" s="7" t="inlineStr">
        <is>
          <t>El siguiente cuadro rige para los estudiantes, que obtienen el reconocimiento de las asignaturas aprobadas, y para los docentes titulares, que obtienen la homologación de su cátedra en la asignatura equivalente. Las 43 asignaturas del Plan 2013 tienen equivalente en el Rediseño Curricular:</t>
        </is>
      </c>
      <c r="E211" s="7" t="inlineStr"/>
      <c r="F211" s="9" t="inlineStr">
        <is>
          <t>En proceso</t>
        </is>
      </c>
      <c r="G211" s="10" t="n"/>
    </row>
    <row r="212">
      <c r="A212" s="8" t="inlineStr">
        <is>
          <t>16.1.3</t>
        </is>
      </c>
      <c r="B212" s="7" t="inlineStr">
        <is>
          <t>Término: Rediseño Curricular</t>
        </is>
      </c>
      <c r="C212" s="7" t="inlineStr">
        <is>
          <t>Cuadro 1. Equivalencias entre el Plan de Estudios 2013 y el Plan de Estudios 2027</t>
        </is>
      </c>
      <c r="D212" s="7" t="inlineStr">
        <is>
          <t>Cuadro 1. Equivalencias entre el Plan de Estudios 2013 y el Rediseño Curricular</t>
        </is>
      </c>
      <c r="E212" s="7" t="inlineStr"/>
      <c r="F212" s="9" t="inlineStr">
        <is>
          <t>En proceso</t>
        </is>
      </c>
      <c r="G212" s="10" t="n"/>
    </row>
    <row r="213">
      <c r="A213" s="8" t="inlineStr">
        <is>
          <t>16.1.3</t>
        </is>
      </c>
      <c r="B213" s="7" t="inlineStr">
        <is>
          <t>Término: Rediseño Curricular</t>
        </is>
      </c>
      <c r="C213" s="7" t="inlineStr">
        <is>
          <t>Asignatura equivalente del Plan 2027</t>
        </is>
      </c>
      <c r="D213" s="7" t="inlineStr">
        <is>
          <t>Asignatura equivalente del Rediseño Curricular</t>
        </is>
      </c>
      <c r="E213" s="7" t="inlineStr"/>
      <c r="F213" s="9" t="inlineStr">
        <is>
          <t>En proceso</t>
        </is>
      </c>
      <c r="G213" s="10" t="n"/>
    </row>
    <row r="214">
      <c r="A214" s="8" t="inlineStr">
        <is>
          <t>16.1.3</t>
        </is>
      </c>
      <c r="B214" s="7" t="inlineStr">
        <is>
          <t>Término: Rediseño Curricular</t>
        </is>
      </c>
      <c r="C214" s="7" t="inlineStr">
        <is>
          <t>De las 43 asignaturas, 34 se homologan directamente, 4 se homologan con cambio de nivel o actualización de contenidos y 5 se convalidan por la actualización tecnológica o normativa de sus contenidos: CPA-102, CPA-305, CPA-505, CPA-506 y MAT-201 del Plan 2027.</t>
        </is>
      </c>
      <c r="D214" s="7" t="inlineStr">
        <is>
          <t>De las 43 asignaturas, 34 se homologan directamente, 4 se homologan con cambio de nivel o actualización de contenidos y 5 se convalidan por la actualización tecnológica o normativa de sus contenidos: CPA-102, CPA-305, CPA-505, CPA-506 y MAT-201 del Rediseño Curricular.</t>
        </is>
      </c>
      <c r="E214" s="7" t="inlineStr"/>
      <c r="F214" s="9" t="inlineStr">
        <is>
          <t>En proceso</t>
        </is>
      </c>
      <c r="G214" s="10" t="n"/>
    </row>
    <row r="215">
      <c r="A215" s="8" t="inlineStr">
        <is>
          <t>16.1.3</t>
        </is>
      </c>
      <c r="B215" s="7" t="inlineStr">
        <is>
          <t>Término: Rediseño Curricular</t>
        </is>
      </c>
      <c r="C215" s="7" t="inlineStr">
        <is>
          <t>16.1.3Cuadro de equivalencias entre el Plan 2013 y el Plan 2027</t>
        </is>
      </c>
      <c r="D215" s="7" t="inlineStr">
        <is>
          <t>16.1.3Cuadro de equivalencias entre el Plan 2013 y el Rediseño Curricular</t>
        </is>
      </c>
      <c r="E215" s="7" t="inlineStr"/>
      <c r="F215" s="9" t="inlineStr">
        <is>
          <t>En proceso</t>
        </is>
      </c>
      <c r="G215" s="10" t="n"/>
    </row>
    <row r="216">
      <c r="A216" s="8" t="inlineStr">
        <is>
          <t>16.1.3</t>
        </is>
      </c>
      <c r="B216" s="7" t="inlineStr">
        <is>
          <t>Término: Rediseño Curricular</t>
        </is>
      </c>
      <c r="C216" s="7" t="inlineStr">
        <is>
          <t>Fuente: elaboración con base en la malla curricular 2027 y en la propuesta de equivalencias de la Carrera.</t>
        </is>
      </c>
      <c r="D216" s="7" t="inlineStr">
        <is>
          <t>Fuente: elaboración con base en la malla curricular del Rediseño Curricular y en la propuesta de equivalencias de la Carrera.</t>
        </is>
      </c>
      <c r="E216" s="7" t="inlineStr"/>
      <c r="F216" s="9" t="inlineStr">
        <is>
          <t>En proceso</t>
        </is>
      </c>
      <c r="G216" s="10" t="n"/>
    </row>
    <row r="217">
      <c r="A217" s="8" t="inlineStr">
        <is>
          <t>16.1.4</t>
        </is>
      </c>
      <c r="B217" s="7" t="inlineStr">
        <is>
          <t>Término: Rediseño Curricular</t>
        </is>
      </c>
      <c r="C217" s="7" t="inlineStr">
        <is>
          <t>El estudiante del Plan 2013 puede migrar voluntariamente al Plan 2027 en cualquier momento de la transición, con el reconocimiento de todas sus asignaturas aprobadas según el Cuadro 1. La migración es irreversible.</t>
        </is>
      </c>
      <c r="D217" s="7" t="inlineStr">
        <is>
          <t>El estudiante del Plan 2013 puede migrar voluntariamente al Rediseño Curricular en cualquier momento de la transición, con el reconocimiento de todas sus asignaturas aprobadas según el Cuadro 1. La migración es irreversible.</t>
        </is>
      </c>
      <c r="E217" s="7" t="inlineStr"/>
      <c r="F217" s="9" t="inlineStr">
        <is>
          <t>En proceso</t>
        </is>
      </c>
      <c r="G217" s="10" t="n"/>
    </row>
    <row r="218">
      <c r="A218" s="8" t="inlineStr">
        <is>
          <t>16.1.4</t>
        </is>
      </c>
      <c r="B218" s="7" t="inlineStr">
        <is>
          <t>Término: Rediseño Curricular</t>
        </is>
      </c>
      <c r="C218" s="7" t="inlineStr">
        <is>
          <t>Las asignaturas que cambian de año, como CPA-102, CPA-204, CPA-305, CPA-406 y MAT-401, se reconocen sin importar el año en que fueron aprobadas; el estudiante que migra cursa las asignaturas del Plan 2027 que no tienen equivalente aprobado, con sujeción a sus prerrequisitos.</t>
        </is>
      </c>
      <c r="D218" s="7" t="inlineStr">
        <is>
          <t>Las asignaturas que cambian de año, como CPA-102, CPA-204, CPA-305, CPA-406 y MAT-401, se reconocen sin importar el año en que fueron aprobadas; el estudiante que migra cursa las asignaturas del Rediseño Curricular que no tienen equivalente aprobado, con sujeción a sus prerrequisitos.</t>
        </is>
      </c>
      <c r="E218" s="7" t="inlineStr"/>
      <c r="F218" s="9" t="inlineStr">
        <is>
          <t>En proceso</t>
        </is>
      </c>
      <c r="G218" s="10" t="n"/>
    </row>
    <row r="219">
      <c r="A219" s="8" t="inlineStr">
        <is>
          <t>16.1.4</t>
        </is>
      </c>
      <c r="B219" s="7" t="inlineStr">
        <is>
          <t>Término: Rediseño Curricular</t>
        </is>
      </c>
      <c r="C219" s="7" t="inlineStr">
        <is>
          <t>Los docentes titulares conservan su cátedra en la asignatura equivalente del Plan 2027. Cuando la carga horaria de la asignatura disminuye, la diferencia se compensa conforme al punto 16.1.2, y cuando el contenido se actualiza, el docente participa de forma obligatoria en el programa de actualizació</t>
        </is>
      </c>
      <c r="D219" s="7" t="inlineStr">
        <is>
          <t>Los docentes titulares conservan su cátedra en la asignatura equivalente del Rediseño Curricular. Cuando la carga horaria de la asignatura disminuye, la diferencia se compensa conforme al punto 16.1.2, y cuando el contenido se actualiza, el docente participa de forma obligatoria en el programa de ac</t>
        </is>
      </c>
      <c r="E219" s="7" t="inlineStr"/>
      <c r="F219" s="9" t="inlineStr">
        <is>
          <t>En proceso</t>
        </is>
      </c>
      <c r="G219" s="10" t="n"/>
    </row>
    <row r="220">
      <c r="A220" s="8" t="inlineStr">
        <is>
          <t>16.2</t>
        </is>
      </c>
      <c r="B220" s="7" t="inlineStr">
        <is>
          <t>Denominación del grado (Reglamento 08, Art. 4)</t>
        </is>
      </c>
      <c r="C220" s="7" t="inlineStr">
        <is>
          <t>Técnico Universitario Superior en Contabilidad General</t>
        </is>
      </c>
      <c r="D220" s="7" t="inlineStr">
        <is>
          <t>Técnico Superior en Contabilidad General</t>
        </is>
      </c>
      <c r="E220" s="7" t="inlineStr">
        <is>
          <t xml:space="preserve">Habilitación de la salida intermedia de Técnico Universitario Superior en Contabilidad General; planes de asignatura de </t>
        </is>
      </c>
      <c r="F220" s="9" t="inlineStr">
        <is>
          <t>En proceso</t>
        </is>
      </c>
      <c r="G220" s="10" t="n"/>
    </row>
    <row r="221">
      <c r="A221" s="8" t="inlineStr">
        <is>
          <t>16.2</t>
        </is>
      </c>
      <c r="B221" s="7" t="inlineStr">
        <is>
          <t>Referencia cruzada</t>
        </is>
      </c>
      <c r="C221" s="7" t="inlineStr">
        <is>
          <t>12.1.5.</t>
        </is>
      </c>
      <c r="D221" s="7" t="inlineStr">
        <is>
          <t>12.1.3.</t>
        </is>
      </c>
      <c r="E221" s="7" t="inlineStr">
        <is>
          <t>Fuente: elaboración con base en los puntos 11.3.4 y 12.1.5.</t>
        </is>
      </c>
      <c r="F221" s="9" t="inlineStr">
        <is>
          <t>En proceso</t>
        </is>
      </c>
      <c r="G221" s="10" t="n"/>
    </row>
    <row r="222">
      <c r="A222" s="8" t="inlineStr">
        <is>
          <t>16.2</t>
        </is>
      </c>
      <c r="B222" s="7" t="inlineStr">
        <is>
          <t>Término: Rediseño Curricular</t>
        </is>
      </c>
      <c r="C222" s="7" t="inlineStr">
        <is>
          <t>Cuadro 2. Cronograma de implementación del Plan 2027</t>
        </is>
      </c>
      <c r="D222" s="7" t="inlineStr">
        <is>
          <t>Cuadro 2. Cronograma de implementación del Rediseño Curricular</t>
        </is>
      </c>
      <c r="E222" s="7" t="inlineStr"/>
      <c r="F222" s="9" t="inlineStr">
        <is>
          <t>En proceso</t>
        </is>
      </c>
      <c r="G222" s="10" t="n"/>
    </row>
    <row r="223">
      <c r="A223" s="8" t="inlineStr">
        <is>
          <t>16.2</t>
        </is>
      </c>
      <c r="B223" s="7" t="inlineStr">
        <is>
          <t>Término: Rediseño Curricular</t>
        </is>
      </c>
      <c r="C223" s="7" t="inlineStr">
        <is>
          <t>Plan de Estudios 2027</t>
        </is>
      </c>
      <c r="D223" s="7" t="inlineStr">
        <is>
          <t>Rediseño Curricular</t>
        </is>
      </c>
      <c r="E223" s="7" t="inlineStr"/>
      <c r="F223" s="9" t="inlineStr">
        <is>
          <t>En proceso</t>
        </is>
      </c>
      <c r="G223" s="10" t="n"/>
    </row>
    <row r="224">
      <c r="A224" s="8" t="inlineStr">
        <is>
          <t>16.2</t>
        </is>
      </c>
      <c r="B224" s="7" t="inlineStr">
        <is>
          <t>Término: Rediseño Curricular</t>
        </is>
      </c>
      <c r="C224" s="7" t="inlineStr">
        <is>
          <t>Primera promoción del Plan 2027</t>
        </is>
      </c>
      <c r="D224" s="7" t="inlineStr">
        <is>
          <t>Primera promoción del Rediseño Curricular</t>
        </is>
      </c>
      <c r="E224" s="7" t="inlineStr"/>
      <c r="F224" s="9" t="inlineStr">
        <is>
          <t>En proceso</t>
        </is>
      </c>
      <c r="G224" s="10" t="n"/>
    </row>
    <row r="225">
      <c r="A225" s="8" t="inlineStr">
        <is>
          <t>16.2</t>
        </is>
      </c>
      <c r="B225" s="7" t="inlineStr">
        <is>
          <t>Término: Rediseño Curricular</t>
        </is>
      </c>
      <c r="C225" s="7" t="inlineStr">
        <is>
          <t xml:space="preserve">La Dirección de Carrera es responsable de la ejecución del plan de implementación, con el apoyo de la Comisión de Evaluación Curricular, la Comisión de Convalidaciones, la Unidad de Kárdex Académico, el Centro de Cómputo y las jefaturas de área. Antes de iniciar cada año del Plan 2027, el Honorable </t>
        </is>
      </c>
      <c r="D225" s="7" t="inlineStr">
        <is>
          <t xml:space="preserve">La Dirección de Carrera es responsable de la ejecución del plan de implementación, con el apoyo de la Comisión de Evaluación Curricular, la Comisión de Convalidaciones, la Unidad de Kárdex Académico, el Centro de Cómputo y las jefaturas de área. Antes de iniciar cada año del Rediseño Curricular, el </t>
        </is>
      </c>
      <c r="E225" s="7" t="inlineStr"/>
      <c r="F225" s="9" t="inlineStr">
        <is>
          <t>En proceso</t>
        </is>
      </c>
      <c r="G225" s="10" t="n"/>
    </row>
    <row r="226">
      <c r="A226" s="8" t="inlineStr">
        <is>
          <t>16.3</t>
        </is>
      </c>
      <c r="B226" s="7" t="inlineStr">
        <is>
          <t>Término: Rediseño Curricular</t>
        </is>
      </c>
      <c r="C226" s="7" t="inlineStr">
        <is>
          <t>Cada año del Plan 2013 se extingue cuando el año equivalente del Plan 2027 ya está en funcionamiento, según el Cuadro 2, de modo que el estudiante siempre dispone de una asignatura equivalente para continuar sus estudios.</t>
        </is>
      </c>
      <c r="D226" s="7" t="inlineStr">
        <is>
          <t>Cada año del Plan 2013 se extingue cuando el año equivalente del Rediseño Curricular ya está en funcionamiento, según el Cuadro 2, de modo que el estudiante siempre dispone de una asignatura equivalente para continuar sus estudios.</t>
        </is>
      </c>
      <c r="E226" s="7" t="inlineStr"/>
      <c r="F226" s="9" t="inlineStr">
        <is>
          <t>En proceso</t>
        </is>
      </c>
      <c r="G226" s="10" t="n"/>
    </row>
    <row r="227">
      <c r="A227" s="8" t="inlineStr">
        <is>
          <t>16.3</t>
        </is>
      </c>
      <c r="B227" s="7" t="inlineStr">
        <is>
          <t>Término: Rediseño Curricular</t>
        </is>
      </c>
      <c r="C227" s="7" t="inlineStr">
        <is>
          <t>El estudiante que repruebe o no haya cursado una asignatura del Plan 2013 después de su extinción la cursa en la asignatura equivalente del Plan 2027, con reconocimiento en su historial académico.</t>
        </is>
      </c>
      <c r="D227" s="7" t="inlineStr">
        <is>
          <t>El estudiante que repruebe o no haya cursado una asignatura del Plan 2013 después de su extinción la cursa en la asignatura equivalente del Rediseño Curricular, con reconocimiento en su historial académico.</t>
        </is>
      </c>
      <c r="E227" s="7" t="inlineStr"/>
      <c r="F227" s="9" t="inlineStr">
        <is>
          <t>En proceso</t>
        </is>
      </c>
      <c r="G227" s="10" t="n"/>
    </row>
    <row r="228">
      <c r="A228" s="8" t="inlineStr">
        <is>
          <t>16.3</t>
        </is>
      </c>
      <c r="B228" s="7" t="inlineStr">
        <is>
          <t>Término: Rediseño Curricular</t>
        </is>
      </c>
      <c r="C228" s="7" t="inlineStr">
        <is>
          <t>El estudiante que concluya el Plan 2013 dispone de un plazo de hasta tres años calendario desde su egreso para graduarse conforme a la reglamentación de ese plan. Vencido el plazo, se gradúa mediante las modalidades del Plan 2027 o el PETAENG, conforme al punto 13.1.4.</t>
        </is>
      </c>
      <c r="D228" s="7" t="inlineStr">
        <is>
          <t>El estudiante que concluya el Plan 2013 dispone de un plazo de hasta tres años calendario desde su egreso para graduarse conforme a la reglamentación de ese plan. Vencido el plazo, se gradúa mediante las modalidades del Rediseño Curricular o el PETAENG, conforme al punto 13.1.4.</t>
        </is>
      </c>
      <c r="E228" s="7" t="inlineStr"/>
      <c r="F228" s="9" t="inlineStr">
        <is>
          <t>En proceso</t>
        </is>
      </c>
      <c r="G228" s="10" t="n"/>
    </row>
  </sheetData>
  <autoFilter ref="A3:G228"/>
  <conditionalFormatting sqref="F4:F228">
    <cfRule type="expression" priority="1" dxfId="0">
      <formula>$F4="Corregido"</formula>
    </cfRule>
    <cfRule type="expression" priority="2" dxfId="1">
      <formula>$F4="En proceso"</formula>
    </cfRule>
    <cfRule type="expression" priority="3" dxfId="2">
      <formula>$F4="Pendiente"</formula>
    </cfRule>
    <cfRule type="expression" priority="4" dxfId="3">
      <formula>$F4="No aplica"</formula>
    </cfRule>
  </conditionalFormatting>
  <dataValidations count="1">
    <dataValidation sqref="F4:F228" showDropDown="0" showInputMessage="0" showErrorMessage="0" allowBlank="1" type="list">
      <formula1>"Pendiente,En proceso,Corregido,No aplica"</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49"/>
  <sheetViews>
    <sheetView zoomScale="90" workbookViewId="0">
      <pane ySplit="3" topLeftCell="A4" activePane="bottomLeft" state="frozen"/>
      <selection pane="bottomLeft" activeCell="A1" sqref="A1"/>
    </sheetView>
  </sheetViews>
  <sheetFormatPr baseColWidth="8" defaultRowHeight="15"/>
  <cols>
    <col width="26" customWidth="1" min="1" max="1"/>
    <col width="16" customWidth="1" min="2" max="2"/>
    <col width="16" customWidth="1" min="3" max="3"/>
    <col width="10" customWidth="1" min="4" max="4"/>
    <col width="70" customWidth="1" min="5" max="5"/>
    <col width="55" customWidth="1" min="6" max="6"/>
    <col width="13" customWidth="1" min="7" max="7"/>
    <col width="25" customWidth="1" min="8" max="8"/>
  </cols>
  <sheetData>
    <row r="1">
      <c r="A1" s="1" t="inlineStr">
        <is>
          <t>Coherencia pendiente entre puntos</t>
        </is>
      </c>
    </row>
    <row r="2">
      <c r="A2" s="2" t="inlineStr">
        <is>
          <t>Lo que un punto dice distinto de otro. El Reglamento de Modalidades de Graduación (13.1.4) y la malla definitiva prevalecen.</t>
        </is>
      </c>
    </row>
    <row r="3">
      <c r="A3" s="6" t="inlineStr">
        <is>
          <t>Tema</t>
        </is>
      </c>
      <c r="B3" s="6" t="inlineStr">
        <is>
          <t>Puntos</t>
        </is>
      </c>
      <c r="C3" s="6" t="inlineStr">
        <is>
          <t>Tipo</t>
        </is>
      </c>
      <c r="D3" s="6" t="inlineStr">
        <is>
          <t>Severidad</t>
        </is>
      </c>
      <c r="E3" s="6" t="inlineStr">
        <is>
          <t>Detalle</t>
        </is>
      </c>
      <c r="F3" s="6" t="inlineStr">
        <is>
          <t>Corrección propuesta</t>
        </is>
      </c>
      <c r="G3" s="6" t="inlineStr">
        <is>
          <t>Seguimiento</t>
        </is>
      </c>
      <c r="H3" s="6" t="inlineStr">
        <is>
          <t>Observaciones</t>
        </is>
      </c>
    </row>
    <row r="4">
      <c r="A4" s="7" t="inlineStr">
        <is>
          <t>Población habilitada para el PETAENG</t>
        </is>
      </c>
      <c r="B4" s="7" t="inlineStr">
        <is>
          <t>5.4.2 / 13.1.4 (Art. 5 y Art. 83) / 16.3</t>
        </is>
      </c>
      <c r="C4" s="7" t="inlineStr">
        <is>
          <t>Contradicción</t>
        </is>
      </c>
      <c r="D4" s="8" t="inlineStr">
        <is>
          <t>Alta</t>
        </is>
      </c>
      <c r="E4" s="7" t="inlineStr">
        <is>
          <t>El punto 5.4.2 dice que «el estudiante que concluya las 43 asignaturas del presente plan podrá optar por una de las siguientes siete modalidades» y entre ellas incluye el PETAENG, «dirigido exclusivamente a estudiantes egresados que hayan concluido el plan de estudios y tengan [...] tres (3) años de antigüedad». El Art. 83 del Reglamento lo limita a los egresados «que hayan concluido el 100% de la Malla Curricular de planes de estudio anteriores». El Art. 5 lo describe sin esa restricción («egresados con una antigüedad igual o mayor a tres (3) años»), y el 16.3 lo trata como salida para egresados del Plan 2013.</t>
        </is>
      </c>
      <c r="F4" s="7" t="inlineStr">
        <is>
          <t>Alinear el 5.4.2 con el Art. 83: presentar el PETAENG como modalidad excepcional para egresados de planes anteriores, separada de las seis modalidades del nuevo plan, y cambiar «siete» por «seis más el PETAENG para planes anteriores». Para que el propio Reglamento sea coherente, agregar en el Art. 5 «de planes de estudio anteriores».</t>
        </is>
      </c>
      <c r="G4" s="9" t="inlineStr">
        <is>
          <t>Pendiente</t>
        </is>
      </c>
      <c r="H4" s="10" t="n"/>
    </row>
    <row r="5">
      <c r="A5" s="7" t="inlineStr">
        <is>
          <t>Créditos exigidos para el Técnico Superior</t>
        </is>
      </c>
      <c r="B5" s="7" t="inlineStr">
        <is>
          <t>13.1.4 (Art. 88) / 4.4.3 / 4.4.4 / 8.5</t>
        </is>
      </c>
      <c r="C5" s="7" t="inlineStr">
        <is>
          <t>Dato distinto</t>
        </is>
      </c>
      <c r="D5" s="8" t="inlineStr">
        <is>
          <t>Alta</t>
        </is>
      </c>
      <c r="E5" s="7" t="inlineStr">
        <is>
          <t>El Art. 88 del Reglamento exige «Haber aprobado la totalidad de las veinticuatro (24) asignaturas correspondientes a primer, segundo y tercer año del Plan de Estudios (120 créditos)». Según la malla (4.4.3, 4.4.4 y 8.5), cada año suma 60 créditos, de modo que las 24 asignaturas de 1.° a 3.° año suman 180 créditos y 3.520 horas presenciales. Los 120 créditos corresponden solo a 1.° y 2.° año, es decir, a las 16 asignaturas del Técnico Universitario Medio.</t>
        </is>
      </c>
      <c r="F5" s="7" t="inlineStr">
        <is>
          <t>En el Art. 88 del 13.1.4, cambiar «(120 créditos)» por «(180 créditos)» o eliminar el paréntesis. Como el Reglamento prevalece, la corrección debe hacerse en su propio texto.</t>
        </is>
      </c>
      <c r="G5" s="9" t="inlineStr">
        <is>
          <t>Pendiente</t>
        </is>
      </c>
      <c r="H5" s="10" t="n"/>
    </row>
    <row r="6">
      <c r="A6" s="7" t="inlineStr">
        <is>
          <t>Plazo de graduación de egresados del Plan 2013</t>
        </is>
      </c>
      <c r="B6" s="7" t="inlineStr">
        <is>
          <t>16.3 / 13.1.4 (Disposición Transitoria Primera)</t>
        </is>
      </c>
      <c r="C6" s="7" t="inlineStr">
        <is>
          <t>Contradicción</t>
        </is>
      </c>
      <c r="D6" s="8" t="inlineStr">
        <is>
          <t>Alta</t>
        </is>
      </c>
      <c r="E6" s="7" t="inlineStr">
        <is>
          <t>El punto 16.3 dice «El estudiante que concluya el Plan 2013 dispone de un plazo de hasta tres años calendario desde su egreso para graduarse conforme a la reglamentación de ese plan. Vencido el plazo, se gradúa mediante las modalidades del Plan 2027 o el PETAENG, conforme al punto 13.1.4». El Reglamento (13.1.4, Disposición Transitoria Primera) no fija ningún plazo: los estudiantes de planes anteriores «mantendrán el derecho a graduarse bajo las modalidades vigentes al momento de su conclusión de estudios, o podrán acogerse voluntariamente a las modalidades del Plan de Estudios 2027 mediante homologación». El 16.3 remite además al 13.1.4 para una regla que este no contiene.</t>
        </is>
      </c>
      <c r="F6" s="7" t="inlineStr">
        <is>
          <t>Corregir el 16.3 para que repita la Disposición Transitoria Primera: quitar el plazo de tres años y la graduación obligatoria por el nuevo plan o el PETAENG, y decir que el egresado del Plan 2013 conserva las modalidades vigentes cuando concluyó o puede acogerse de forma voluntaria a las del nuevo plan mediante homologación. Si la comisión quiere un plazo, primero debe incorporarlo al Reglamento.</t>
        </is>
      </c>
      <c r="G6" s="9" t="inlineStr">
        <is>
          <t>Pendiente</t>
        </is>
      </c>
      <c r="H6" s="10" t="n"/>
    </row>
    <row r="7">
      <c r="A7" s="7" t="inlineStr">
        <is>
          <t>Congreso que aprobó el Reglamento General de Títulos y Grados</t>
        </is>
      </c>
      <c r="B7" s="7" t="inlineStr">
        <is>
          <t>1.6 / 3.2.1 (Cuadro 11) / 5.4.1 / 13.1.1</t>
        </is>
      </c>
      <c r="C7" s="7" t="inlineStr">
        <is>
          <t>Dato distinto</t>
        </is>
      </c>
      <c r="D7" s="8" t="inlineStr">
        <is>
          <t>Media</t>
        </is>
      </c>
      <c r="E7" s="7" t="inlineStr">
        <is>
          <t>El punto 1.6 cita el «Reglamento General de Títulos y Grados aprobado en el XIII Congreso Nacional de Universidades». El Cuadro 11 del 3.2.1 cita el «Reglamento General de Títulos y Grados, XI Congreso Nacional de Universidades, 2009». Los puntos 5.4.1 y 13.1.1 lo citan sin indicar el congreso.</t>
        </is>
      </c>
      <c r="F7" s="7" t="inlineStr">
        <is>
          <t>Verificar la edición vigente y usar en todos los puntos la misma denominación, congreso y año (por ejemplo: «Reglamento General de Títulos y Grados del Sistema de la Universidad Boliviana, aprobado en el [XI/XIII] Congreso Nacional de Universidades»).</t>
        </is>
      </c>
      <c r="G7" s="9" t="inlineStr">
        <is>
          <t>Pendiente</t>
        </is>
      </c>
      <c r="H7" s="10" t="n"/>
    </row>
    <row r="8">
      <c r="A8" s="7" t="inlineStr">
        <is>
          <t>Denominación del área de aseguramiento</t>
        </is>
      </c>
      <c r="B8" s="7" t="inlineStr">
        <is>
          <t>2.7.1 (Cuadros 5, 7 y 8) / 3.1.2 (Cuadro 4) / 3.5.5 / 11.2.1 (Cuadro 7) / 4.4.1</t>
        </is>
      </c>
      <c r="C8" s="7" t="inlineStr">
        <is>
          <t>Dato distinto</t>
        </is>
      </c>
      <c r="D8" s="8" t="inlineStr">
        <is>
          <t>Media</t>
        </is>
      </c>
      <c r="E8" s="7" t="inlineStr">
        <is>
          <t>Los mismos datos docentes de 2026 llaman al área «Servicios de Atestación y No Atestación» en los Cuadros 5, 7 y 8 del 2.7.1 («73,33 % en el área de Atestación» en el Cuadro 4 del 3.1.2, y «docentes a tiempo completo en el área de Atestación» en la decisión del 3.5.5). El Cuadro 7 del 11.2.1, con las mismas cifras (33 interinos, 12 titulares, 45 designaciones), la llama «Servicios de Aseguramiento», que es el nombre del área en el rediseño (4.4.1).</t>
        </is>
      </c>
      <c r="F8" s="7" t="inlineStr">
        <is>
          <t>Usar «Servicios de Aseguramiento» en el 2.7.1, el 3.1.2 y el 3.5.5 para los datos actuales y para el nuevo plan. «Servicios de Atestación y No Atestación» debe quedar solo como nombre del área del Plan 2013 (3.1.1, Cuadro 3), con una nota de equivalencia.</t>
        </is>
      </c>
      <c r="G8" s="9" t="inlineStr">
        <is>
          <t>Pendiente</t>
        </is>
      </c>
      <c r="H8" s="10" t="n"/>
    </row>
    <row r="9">
      <c r="A9" s="7" t="inlineStr">
        <is>
          <t>Gabinetes de auditoría en el nuevo plan</t>
        </is>
      </c>
      <c r="B9" s="7" t="inlineStr">
        <is>
          <t>3.5.3 / 3.1.1 (Cuadro 10) / 4.8.2 (Cuadro 1) / 4.4.3</t>
        </is>
      </c>
      <c r="C9" s="7" t="inlineStr">
        <is>
          <t>Dato distinto</t>
        </is>
      </c>
      <c r="D9" s="8" t="inlineStr">
        <is>
          <t>Media</t>
        </is>
      </c>
      <c r="E9" s="7" t="inlineStr">
        <is>
          <t>El punto 3.5.3 dice que el rediseño suma «la amplitud de su bloque de aseguramiento, con ocho gabinetes especializados, financiero, tributario, gubernamental, de sistemas, ambiental, de proyectos, forense y de entidades financieras». El Cuadro 1 del 4.8.2 ubica «Gabinetes y simulación profesional» en «4.° y 5.°». En la malla (4.4.3) solo CPA-502 es un gabinete; las demás asignaturas pasan a llamarse «Auditoría Tributaria», «Auditoría Gubernamental», etc., y en cuarto año no hay ningún gabinete.</t>
        </is>
      </c>
      <c r="F9" s="7" t="inlineStr">
        <is>
          <t>En el 3.5.3, hablar de «nueve asignaturas especializadas de aseguramiento en quinto año (CPA-501 a CPA-509), entre ellas el Gabinete de Auditoría Financiera». En el 4.8.2, cambiar a «Gabinete y asignaturas de aseguramiento | 4.° y 5.°» o limitar el gabinete a 5.°.</t>
        </is>
      </c>
      <c r="G9" s="9" t="inlineStr">
        <is>
          <t>Pendiente</t>
        </is>
      </c>
      <c r="H9" s="10" t="n"/>
    </row>
    <row r="10">
      <c r="A10" s="7" t="inlineStr">
        <is>
          <t>Tratamiento del inglés técnico</t>
        </is>
      </c>
      <c r="B10" s="7" t="inlineStr">
        <is>
          <t>4.4.1 (Cuadro 2) / 4.3.1 / 3.1.1 (Cuadro 10) / 3.5.4 (Cuadro 30) / 4.2.7</t>
        </is>
      </c>
      <c r="C10" s="7" t="inlineStr">
        <is>
          <t>Contradicción</t>
        </is>
      </c>
      <c r="D10" s="8" t="inlineStr">
        <is>
          <t>Media</t>
        </is>
      </c>
      <c r="E10" s="7" t="inlineStr">
        <is>
          <t>El punto 4.3.1 dice que «Cinco ejes atraviesan todas las áreas y años de estudio: [...] el inglés técnico». El Cuadro 2 del 4.4.1 lo limita a «las asignaturas de los últimos años» y, en nota, lo califica de «(*) Materia extracurricular propuesta». El Cuadro 10 del 3.1.1 dice «Se incorpora [...] inglés técnico contable» y el Cuadro 30 del 3.5.4, «Inglés técnico progresivo». La malla no tiene ninguna asignatura de inglés, pero el perfil (4.2.7) declara «conocimiento del inglés técnico contable».</t>
        </is>
      </c>
      <c r="F10" s="7" t="inlineStr">
        <is>
          <t>Definir una sola fórmula y repetirla en el 3, el 4.3.1 y el 4.4.1. Por ejemplo: «eje transversal que se incorpora progresivamente mediante bibliografía, casos y guías en inglés en los planes de asignatura, complementado con un curso extracurricular que no forma parte de la malla». Además, armonizar «todos los años» con «últimos años».</t>
        </is>
      </c>
      <c r="G10" s="9" t="inlineStr">
        <is>
          <t>Pendiente</t>
        </is>
      </c>
      <c r="H10" s="10" t="n"/>
    </row>
    <row r="11">
      <c r="A11" s="7" t="inlineStr">
        <is>
          <t>Componentes horarios de los planes de asignatura</t>
        </is>
      </c>
      <c r="B11" s="7" t="inlineStr">
        <is>
          <t>4.4.4 / 8.4 / 4.5</t>
        </is>
      </c>
      <c r="C11" s="7" t="inlineStr">
        <is>
          <t>Dato distinto</t>
        </is>
      </c>
      <c r="D11" s="8" t="inlineStr">
        <is>
          <t>Media</t>
        </is>
      </c>
      <c r="E11" s="7" t="inlineStr">
        <is>
          <t>El punto 4.4.4 dice que «La distinción de horas teóricas, prácticas y de laboratorio se consigna en cada plan de asignatura». Pero los planes del 4.5 y el 8.4 distribuyen las horas en presenciales (HP), aprendizaje autónomo (HAA), trabajo en grupo (HTG), investigación y práctica (HIP) y evaluación (HE), y no en horas teóricas, prácticas y de laboratorio.</t>
        </is>
      </c>
      <c r="F11" s="7" t="inlineStr">
        <is>
          <t>Redactar el 4.4.4 así: «La distribución de las horas de trabajo de cada asignatura en horas presenciales (HP), de aprendizaje autónomo (HAA), de trabajo en grupo (HTG), de investigación y práctica (HIP) y de evaluación (HE) se consigna en cada plan de asignatura del punto 4.5».</t>
        </is>
      </c>
      <c r="G11" s="9" t="inlineStr">
        <is>
          <t>Pendiente</t>
        </is>
      </c>
      <c r="H11" s="10" t="n"/>
    </row>
    <row r="12">
      <c r="A12" s="7" t="inlineStr">
        <is>
          <t>Remisiones al punto 5.3.5 eliminado</t>
        </is>
      </c>
      <c r="B12" s="7" t="inlineStr">
        <is>
          <t>5.3.1 / 13.1.2 (Cuadro 2) / 14.9</t>
        </is>
      </c>
      <c r="C12" s="7" t="inlineStr">
        <is>
          <t>Pendiente conocido</t>
        </is>
      </c>
      <c r="D12" s="8" t="inlineStr">
        <is>
          <t>Media</t>
        </is>
      </c>
      <c r="E12" s="7" t="inlineStr">
        <is>
          <t>El 5.3.1 remite a «la tutoría del punto 5.3.5», el Cuadro 2 del 13.1.2 da «Reglamento de Tutoría Académica [...] | Punto 5.3.5» y el 14.9 menciona el «sistema de alerta temprana del punto 5.3.5». La comisión eliminó ese punto.</t>
        </is>
      </c>
      <c r="F12" s="7" t="inlineStr">
        <is>
          <t>Pendiente ya identificado: quitar o reorientar las tres remisiones.</t>
        </is>
      </c>
      <c r="G12" s="9" t="inlineStr">
        <is>
          <t>Pendiente</t>
        </is>
      </c>
      <c r="H12" s="10" t="n"/>
    </row>
    <row r="13">
      <c r="A13" s="7" t="inlineStr">
        <is>
          <t>Remisión del sistema de créditos</t>
        </is>
      </c>
      <c r="B13" s="7" t="inlineStr">
        <is>
          <t>8 (introducción) / 8.5 / 4.3.5 / 4.4.3 / 4.4.4</t>
        </is>
      </c>
      <c r="C13" s="7" t="inlineStr">
        <is>
          <t>Referencia rota</t>
        </is>
      </c>
      <c r="D13" s="8" t="inlineStr">
        <is>
          <t>Media</t>
        </is>
      </c>
      <c r="E13" s="7" t="inlineStr">
        <is>
          <t>La introducción del punto 8 remite «al sistema de créditos del punto 4.3.5», y el 8.5 dice «El plan aplica el Sistema de Créditos Académicos de la UMSA, desarrollado en el punto 4.3.5». Pero el 4.3.5 trata de la «Duración de la carrera»; los créditos se desarrollan en los puntos 4.4.3 (malla con créditos) y 4.4.4 (Cuadro 9).</t>
        </is>
      </c>
      <c r="F13" s="7" t="inlineStr">
        <is>
          <t>Cambiar «punto 4.3.5» por «puntos 4.4.3 y 4.4.4» en la introducción del 8 y en el 8.5.</t>
        </is>
      </c>
      <c r="G13" s="9" t="inlineStr">
        <is>
          <t>Pendiente</t>
        </is>
      </c>
      <c r="H13" s="10" t="n"/>
    </row>
    <row r="14">
      <c r="A14" s="7" t="inlineStr">
        <is>
          <t>Estudiantes por paralelo (metas)</t>
        </is>
      </c>
      <c r="B14" s="7" t="inlineStr">
        <is>
          <t>11.1.1 / 11.2.3 / 8.6</t>
        </is>
      </c>
      <c r="C14" s="7" t="inlineStr">
        <is>
          <t>Referencia rota</t>
        </is>
      </c>
      <c r="D14" s="8" t="inlineStr">
        <is>
          <t>Media</t>
        </is>
      </c>
      <c r="E14" s="7" t="inlineStr">
        <is>
          <t>El punto 11.1.1 dice que «el punto 8.6 fija una meta intermedia de 80 estudiantes por paralelo, que requiere 302 paralelos, y una meta objetivo de 60, que requiere 402», y el Cuadro 9 del 11.2.3 cita como fuente «el punto 8.6». Pero el 8.6 no fija ninguna meta: solo dice que «el Director de carrera debe habilitar la cantidad de estudiantes que se pueden inscribir por paralelo».</t>
        </is>
      </c>
      <c r="F14" s="7" t="inlineStr">
        <is>
          <t>Incorporar en el 8.6 el mínimo y el máximo de estudiantes por paralelo (meta intermedia de 80 y meta objetivo de 60, con el cálculo de 302 y 402 paralelos), como exige el Art. 12 de la Res. HCU 032/2025, o bien quitar la remisión del 11.1.1 y del 11.2.3.</t>
        </is>
      </c>
      <c r="G14" s="9" t="inlineStr">
        <is>
          <t>Pendiente</t>
        </is>
      </c>
      <c r="H14" s="10" t="n"/>
    </row>
    <row r="15">
      <c r="A15" s="7" t="inlineStr">
        <is>
          <t>Capacidad de aulas y pabellones</t>
        </is>
      </c>
      <c r="B15" s="7" t="inlineStr">
        <is>
          <t>11.1.2 (Cuadros 3 y 4) / 14.1 / 15 (Cuadros 1 y 2)</t>
        </is>
      </c>
      <c r="C15" s="7" t="inlineStr">
        <is>
          <t>Dato distinto</t>
        </is>
      </c>
      <c r="D15" s="8" t="inlineStr">
        <is>
          <t>Media</t>
        </is>
      </c>
      <c r="E15" s="7" t="inlineStr">
        <is>
          <t>Los Cuadros 3 y 4 del 11.1.2 y el 14.1 dan para el Nava Morales 974 plazas (Aula 2: 142; Aula 3: 90; Aula 4: 130; Aula 6: 78; Aula 7: 150; Aula 8: 138) y para los pabellones del Monoblock «1.100 plazas» (320/320/240/220). El relevamiento del punto 15 da otras cifras: Aula 2: 136; Aula 3: 94; Aula 4: 134; Aula 6: 80; Aula 7: 148; Aula 8: 120, y «Total pabellones | 1.776» asientos (606/606/300/264). Las pizarras de los pabellones también difieren: 6 en cada uno según el 14.1, y 6/8/4/6 según el 15.</t>
        </is>
      </c>
      <c r="F15" s="7" t="inlineStr">
        <is>
          <t>Conciliar con el relevamiento de octubre de 2026 y usar una sola cifra de capacidad por ambiente en los puntos 11.1.2, 14.1 y 15 (o explicar que el 15 cuenta asientos y el 11 la capacidad útil). Recalcular los m² por estudiante.</t>
        </is>
      </c>
      <c r="G15" s="9" t="inlineStr">
        <is>
          <t>Pendiente</t>
        </is>
      </c>
      <c r="H15" s="10" t="n"/>
    </row>
    <row r="16">
      <c r="A16" s="7" t="inlineStr">
        <is>
          <t>Condición de recuperación en cursos de temporada</t>
        </is>
      </c>
      <c r="B16" s="7" t="inlineStr">
        <is>
          <t>13.1.2 (Cuadro 2) / 13.1.3 / 5.3.3</t>
        </is>
      </c>
      <c r="C16" s="7" t="inlineStr">
        <is>
          <t>Dato distinto</t>
        </is>
      </c>
      <c r="D16" s="8" t="inlineStr">
        <is>
          <t>Media</t>
        </is>
      </c>
      <c r="E16" s="7" t="inlineStr">
        <is>
          <t>El punto 5.3.3 permite cursar las asignaturas del Área Contable y de Auditoría de más de 80 horas «únicamente en calidad de recuperación de materia reprobada, habiendo obtenido una nota previa igual o mayor a treinta (30)». El 13.1.3 dice que solo pueden cursarse para recuperar una asignatura reprobada, «con tutoría complementaria obligatoria, conforme al punto 5.3.3», y el Cuadro 2 del 13.1.2 habla de «recuperación con tutoría obligatoria». El 5.3.3 no menciona ninguna tutoría, y el 13.1.3 omite la nota mínima de 30.</t>
        </is>
      </c>
      <c r="F16" s="7" t="inlineStr">
        <is>
          <t>Unificar los dos requisitos. Si la tutoría es una decisión de la comisión, agregarla al 5.3.3; en el 13.1.3 y en el Cuadro 2 del 13.1.2, agregar «con nota previa igual o mayor a 30 sobre 100». Si la tutoría no es una decisión, eliminarla del 13.1.2 y del 13.1.3.</t>
        </is>
      </c>
      <c r="G16" s="9" t="inlineStr">
        <is>
          <t>Pendiente</t>
        </is>
      </c>
      <c r="H16" s="10" t="n"/>
    </row>
    <row r="17">
      <c r="A17" s="7" t="inlineStr">
        <is>
          <t>Contenido de la Resolución HCF 1057/2026</t>
        </is>
      </c>
      <c r="B17" s="7" t="inlineStr">
        <is>
          <t>13.1.4 (Art. 3) / 1.13 / 3.2.1 / 4.3.1</t>
        </is>
      </c>
      <c r="C17" s="7" t="inlineStr">
        <is>
          <t>Dato distinto</t>
        </is>
      </c>
      <c r="D17" s="8" t="inlineStr">
        <is>
          <t>Media</t>
        </is>
      </c>
      <c r="E17" s="7" t="inlineStr">
        <is>
          <t>El Art. 3 del Reglamento cita las «Resoluciones [...] HCF Nº 1057/2026 y HCF Nº 1126/2026 de aprobación del Rediseño Curricular y conformación de la Comisión Académica». Los puntos 1.13 y 3.2.1 dicen que la HCF 1057/2026, de 25 de agosto de 2026, «aprueba el Diagnóstico de la Carrera y la Declaratoria de Necesidad de Rediseño Curricular». Ninguna de las dos resoluciones aprueba el rediseño.</t>
        </is>
      </c>
      <c r="F17" s="7" t="inlineStr">
        <is>
          <t>Redactar en el Art. 3: «Resolución HCF N.º 1057/2026, de 25 de agosto de 2026, que aprueba el Diagnóstico y la Declaratoria de Necesidad de Rediseño Curricular, y Resolución HCF N.º 1126/2026, de 10 de septiembre de 2026, que conforma la Comisión Académica».</t>
        </is>
      </c>
      <c r="G17" s="9" t="inlineStr">
        <is>
          <t>Pendiente</t>
        </is>
      </c>
      <c r="H17" s="10" t="n"/>
    </row>
    <row r="18">
      <c r="A18" s="7" t="inlineStr">
        <is>
          <t>Resolución del PETAENG</t>
        </is>
      </c>
      <c r="B18" s="7" t="inlineStr">
        <is>
          <t>13.1.4 (Art. 84) / 13.1.2 (Cuadro 2) / 5.4.2</t>
        </is>
      </c>
      <c r="C18" s="7" t="inlineStr">
        <is>
          <t>Pendiente conocido</t>
        </is>
      </c>
      <c r="D18" s="8" t="inlineStr">
        <is>
          <t>Media</t>
        </is>
      </c>
      <c r="E18" s="7" t="inlineStr">
        <is>
          <t>El Art. 84 cita el «Reglamento General del P.E.TA.E.N.G. [...] HCU Nº 281/2016» y el Cuadro 2 del 13.1.2 marca el «Reglamento del PETAENG | Vigente», pero falta confirmar la resolución.</t>
        </is>
      </c>
      <c r="F18" s="7" t="inlineStr">
        <is>
          <t>Pendiente ya identificado: confirmar el número y la fecha de la resolución y usarlos igual en todos los puntos.</t>
        </is>
      </c>
      <c r="G18" s="9" t="inlineStr">
        <is>
          <t>Pendiente</t>
        </is>
      </c>
      <c r="H18" s="10" t="n"/>
    </row>
    <row r="19">
      <c r="A19" s="7" t="inlineStr">
        <is>
          <t>Número de servidores administrativos</t>
        </is>
      </c>
      <c r="B19" s="7" t="inlineStr">
        <is>
          <t>14.6 / 2.1 / 2.6.1 / 11.2.1</t>
        </is>
      </c>
      <c r="C19" s="7" t="inlineStr">
        <is>
          <t>Dato distinto</t>
        </is>
      </c>
      <c r="D19" s="8" t="inlineStr">
        <is>
          <t>Media</t>
        </is>
      </c>
      <c r="E19" s="7" t="inlineStr">
        <is>
          <t>El punto 14.6 dice que en los ambientes administrativos «prestan servicios 26 servidores públicos (funcionarios administrativos)». Los puntos 2.1 y 2.6.1 dan «23 servidores, 10 de planta y 13 contratados», y el 11.2.1 repite los 23 y añade los 7 de la Unidad de Postgrado y del PETAENG (Cuadro 3 del 2.6.1), es decir, 30 en total.</t>
        </is>
      </c>
      <c r="F19" s="7" t="inlineStr">
        <is>
          <t>Corregir el 14.6 a «23 servidores administrativos (10 de planta y 13 contratados), además de 7 en la Unidad de Postgrado y el PETAENG», o explicar qué incluye la cifra de 26.</t>
        </is>
      </c>
      <c r="G19" s="9" t="inlineStr">
        <is>
          <t>Pendiente</t>
        </is>
      </c>
      <c r="H19" s="10" t="n"/>
    </row>
    <row r="20">
      <c r="A20" s="7" t="inlineStr">
        <is>
          <t>Elaboración de los planes de asignatura</t>
        </is>
      </c>
      <c r="B20" s="7" t="inlineStr">
        <is>
          <t>16.2 (Cuadro 2) / 4.4.2 / 8.4 / 4.5</t>
        </is>
      </c>
      <c r="C20" s="7" t="inlineStr">
        <is>
          <t>Contradicción</t>
        </is>
      </c>
      <c r="D20" s="8" t="inlineStr">
        <is>
          <t>Media</t>
        </is>
      </c>
      <c r="E20" s="7" t="inlineStr">
        <is>
          <t>El Cuadro 2 del 16.2 programa la «elaboración de los planes de asignatura de primer año» en 2026, los de segundo año en 2027 y así hasta los de quinto año en 2030. Los puntos 4.4.2 y 8.4 dan por existentes los 43 planes del punto 4.5: el 8.4 calcula las 874 HIP «con base en los planes de asignatura del punto 4.5», y el 4.4.2 remite a ellos las unidades y los elementos de competencia.</t>
        </is>
      </c>
      <c r="F20" s="7" t="inlineStr">
        <is>
          <t>En el Cuadro 2 del 16.2, cambiar «elaboración de los planes de asignatura de [n] año» por «revisión y complementación anual de los planes de asignatura de [n] año (Art. 7, Res. HCU 032/2025)», ya que los 43 planes forman parte del documento (punto 4.5).</t>
        </is>
      </c>
      <c r="G20" s="9" t="inlineStr">
        <is>
          <t>Pendiente</t>
        </is>
      </c>
      <c r="H20" s="10" t="n"/>
    </row>
    <row r="21">
      <c r="A21" s="7" t="inlineStr">
        <is>
          <t>Momento de extinción de cada año del Plan 2013</t>
        </is>
      </c>
      <c r="B21" s="7" t="inlineStr">
        <is>
          <t>16.2 (Cuadro 2) / 16.3</t>
        </is>
      </c>
      <c r="C21" s="7" t="inlineStr">
        <is>
          <t>Contradicción</t>
        </is>
      </c>
      <c r="D21" s="8" t="inlineStr">
        <is>
          <t>Media</t>
        </is>
      </c>
      <c r="E21" s="7" t="inlineStr">
        <is>
          <t>El punto 16.3 dice que «Cada año del Plan 2013 se extingue cuando el año equivalente del Plan 2027 ya está en funcionamiento». El Cuadro 2 del 16.2 aplica en cambio un año de desfase: en 2027 el Plan 2013 «se dicta el primer año por última vez» y la «Extinción del primer año» ocurre en 2028, y así sucesivamente. Pero en 2031 pone juntas la «Extinción del cuarto y del quinto año», aunque el quinto año del nuevo plan recién empieza ese año.</t>
        </is>
      </c>
      <c r="F21" s="7" t="inlineStr">
        <is>
          <t>Adoptar una sola regla. Se propone redactar el 16.3 así: «Cada año del Plan 2013 se dicta por última vez en la gestión en que inicia el año equivalente del Plan 2027 y se extingue en la gestión siguiente», y corregir la fila 2031 del Cuadro 2 (extinción del cuarto año; el quinto se dicta por última vez y se extingue en 2032).</t>
        </is>
      </c>
      <c r="G21" s="9" t="inlineStr">
        <is>
          <t>Pendiente</t>
        </is>
      </c>
      <c r="H21" s="10" t="n"/>
    </row>
    <row r="22">
      <c r="A22" s="7" t="inlineStr">
        <is>
          <t>Documento que acredita la conclusión de estudios</t>
        </is>
      </c>
      <c r="B22" s="7" t="inlineStr">
        <is>
          <t>1.5 / 5.4.1 (Cuadro 5) / 13.1.4 (Arts. 7, 60 y 78)</t>
        </is>
      </c>
      <c r="C22" s="7" t="inlineStr">
        <is>
          <t>Dato distinto</t>
        </is>
      </c>
      <c r="D22" s="8" t="inlineStr">
        <is>
          <t>Baja</t>
        </is>
      </c>
      <c r="E22" s="7" t="inlineStr">
        <is>
          <t>Los puntos 1.5 y 5.4.1 dicen que la licenciatura exige la conclusión de los estudios «acreditados con el certificado de egreso» o «con certificado de egreso». El Reglamento (Arts. 7, 60 y 78) exige el «Certificado de Conclusión de Estudios» como el documento que habilita la modalidad.</t>
        </is>
      </c>
      <c r="F22" s="7" t="inlineStr">
        <is>
          <t>Usar la denominación del Reglamento, «Certificado de Conclusión de Estudios», en el 1.5 y en el 5.4.1.</t>
        </is>
      </c>
      <c r="G22" s="9" t="inlineStr">
        <is>
          <t>Pendiente</t>
        </is>
      </c>
      <c r="H22" s="10" t="n"/>
    </row>
    <row r="23">
      <c r="A23" s="7" t="inlineStr">
        <is>
          <t>Denominación y alcance del PEI 2026-2030</t>
        </is>
      </c>
      <c r="B23" s="7" t="inlineStr">
        <is>
          <t>1.13 / 2.3 / 3.2.1 / 3.5.3</t>
        </is>
      </c>
      <c r="C23" s="7" t="inlineStr">
        <is>
          <t>Pendiente conocido</t>
        </is>
      </c>
      <c r="D23" s="8" t="inlineStr">
        <is>
          <t>Baja</t>
        </is>
      </c>
      <c r="E23" s="7" t="inlineStr">
        <is>
          <t>El 1.13 habla de las «metas del Plan de Desarrollo 2026-2030 de la Carrera». El 2.3 y el 3.2.1 citan el PEI de la Facultad (HCF 1013/2026, de 18 de agosto de 2026), y el 3.5.3, la «Visión 2030 de la UMSA».</t>
        </is>
      </c>
      <c r="F23" s="7" t="inlineStr">
        <is>
          <t>Pendiente ya identificado: unificar el nombre del instrumento de planificación al que se atribuyen las metas de acreditación.</t>
        </is>
      </c>
      <c r="G23" s="9" t="inlineStr">
        <is>
          <t>Pendiente</t>
        </is>
      </c>
      <c r="H23" s="10" t="n"/>
    </row>
    <row r="24">
      <c r="A24" s="7" t="inlineStr">
        <is>
          <t>Redacción de los valores institucionales</t>
        </is>
      </c>
      <c r="B24" s="7" t="inlineStr">
        <is>
          <t>2.2.3 / 4.1.5</t>
        </is>
      </c>
      <c r="C24" s="7" t="inlineStr">
        <is>
          <t>Dato distinto</t>
        </is>
      </c>
      <c r="D24" s="8" t="inlineStr">
        <is>
          <t>Baja</t>
        </is>
      </c>
      <c r="E24" s="7" t="inlineStr">
        <is>
          <t>El mismo listado de valores aparece con diferencias. En Integridad, el 2.2.3 dice «del Código de Ética del IESBA y Código de Ética del Auditor Gubernamental» y el 4.1.5 solo «del Código de Ética del IESBA». En Responsabilidad social, el 2.2.3 termina en «gobernanza en el sector público y privado» y el 4.1.5 en «gobernanza».</t>
        </is>
      </c>
      <c r="F24" s="7" t="inlineStr">
        <is>
          <t>Reproducir en el 4.1.5 el texto del 2.2.3 (o remitir a él) para que los valores se enuncien igual en ambos puntos.</t>
        </is>
      </c>
      <c r="G24" s="9" t="inlineStr">
        <is>
          <t>Pendiente</t>
        </is>
      </c>
      <c r="H24" s="10" t="n"/>
    </row>
    <row r="25">
      <c r="A25" s="7" t="inlineStr">
        <is>
          <t>Órgano de la graduación por excelencia</t>
        </is>
      </c>
      <c r="B25" s="7" t="inlineStr">
        <is>
          <t>2.6 / 13.1.2 (Cuadro 2) / 13.1.4 (Arts. 73 a 75) / 5.4.2</t>
        </is>
      </c>
      <c r="C25" s="7" t="inlineStr">
        <is>
          <t>Dato distinto</t>
        </is>
      </c>
      <c r="D25" s="8" t="inlineStr">
        <is>
          <t>Baja</t>
        </is>
      </c>
      <c r="E25" s="7" t="inlineStr">
        <is>
          <t>El punto 2.6 y el Cuadro 2 del 13.1.2 hablan del «Tribunal de Graduación por Excelencia Académica», «designado por el Director de Carrera». El Reglamento (Arts. 73 a 75) y el 5.4.2 lo llaman «Comisión de Graduación por Excelencia de la Carrera».</t>
        </is>
      </c>
      <c r="F25" s="7" t="inlineStr">
        <is>
          <t>Usar en todos los puntos la denominación del Reglamento, «Comisión de Graduación por Excelencia», o declarar la equivalencia en el 2.6.</t>
        </is>
      </c>
      <c r="G25" s="9" t="inlineStr">
        <is>
          <t>Pendiente</t>
        </is>
      </c>
      <c r="H25" s="10" t="n"/>
    </row>
    <row r="26">
      <c r="A26" s="7" t="inlineStr">
        <is>
          <t>Nombres de asignaturas del Plan 2013</t>
        </is>
      </c>
      <c r="B26" s="7" t="inlineStr">
        <is>
          <t>3.1.1 (Cuadro 2) / 3.1.1 (Cuadro 10) / 16.1.3 (Cuadro 1)</t>
        </is>
      </c>
      <c r="C26" s="7" t="inlineStr">
        <is>
          <t>Dato distinto</t>
        </is>
      </c>
      <c r="D26" s="8" t="inlineStr">
        <is>
          <t>Baja</t>
        </is>
      </c>
      <c r="E26" s="7" t="inlineStr">
        <is>
          <t>El Cuadro 2 del 3.1.1 nombra «DER-102 Derecho Laboral y Seguridad Social», «CPA-304 Contabilidad y Presupuestos Gubernamental» y «MAT-201 Álgebra y Programación Lineal». El Cuadro 1 del 16.1.3 dice «Derecho Laboral y de Seguridad Social», «Contabilidad y Presupuesto Gubernamental» y «Álgebra y Programación Lineales», y el Cuadro 10 del 3.1.1, «Álgebra y Programación Lineales».</t>
        </is>
      </c>
      <c r="F26" s="7" t="inlineStr">
        <is>
          <t>Tomar los nombres exactos del Plan 2013 (Res. HCU 025/2013) y usarlos igual en el 3.1.1 y en el 16.1.3.</t>
        </is>
      </c>
      <c r="G26" s="9" t="inlineStr">
        <is>
          <t>Pendiente</t>
        </is>
      </c>
      <c r="H26" s="10" t="n"/>
    </row>
    <row r="27">
      <c r="A27" s="7" t="inlineStr">
        <is>
          <t>Uso de la denominación «Comisión Académica»</t>
        </is>
      </c>
      <c r="B27" s="7" t="inlineStr">
        <is>
          <t>3.2.1 / 4.3.1 / 12.1.4 / 12.1.5 / 12.1.7</t>
        </is>
      </c>
      <c r="C27" s="7" t="inlineStr">
        <is>
          <t>Dato distinto</t>
        </is>
      </c>
      <c r="D27" s="8" t="inlineStr">
        <is>
          <t>Baja</t>
        </is>
      </c>
      <c r="E27" s="7" t="inlineStr">
        <is>
          <t>En el 3.2.1 y el 4.3.1, la «Comisión Académica» es la comisión del rediseño (HCF 1126/2026: Director, cinco docentes y cinco estudiantes). En el 12.1.4 aparece una «Comisión Académica del año correspondiente», en el 12.1.5 se crea una «Comisión Académica paritaria Docente-Estudiantil» y en el 12.1.7 se habla además de la «Comisión de Evaluación Curricular», sin aclarar la relación entre ellas.</t>
        </is>
      </c>
      <c r="F27" s="7" t="inlineStr">
        <is>
          <t>Dar otro nombre a la instancia del punto 12 (por ejemplo, «Comisión de Seguimiento Curricular por año») y definir en el 12.1.5 y el 12.1.7 cómo se relaciona con la Comisión de Evaluación Curricular.</t>
        </is>
      </c>
      <c r="G27" s="9" t="inlineStr">
        <is>
          <t>Pendiente</t>
        </is>
      </c>
      <c r="H27" s="10" t="n"/>
    </row>
    <row r="28">
      <c r="A28" s="7" t="inlineStr">
        <is>
          <t>Modalidades de admisión en la IES 1</t>
        </is>
      </c>
      <c r="B28" s="7" t="inlineStr">
        <is>
          <t>4.1.4 (cuadro IES) / 4.1.4 (texto) / 3.5.4 (Cuadro 29) / 5.2</t>
        </is>
      </c>
      <c r="C28" s="7" t="inlineStr">
        <is>
          <t>Dato distinto</t>
        </is>
      </c>
      <c r="D28" s="8" t="inlineStr">
        <is>
          <t>Baja</t>
        </is>
      </c>
      <c r="E28" s="7" t="inlineStr">
        <is>
          <t>El cuadro del 4.1.4 limita la IES 1 a «Cursos Pre-Facultativos / Exámenes de Suficiencia Académica». El texto del mismo 4.1.4 y el Cuadro 29 del 3.5.4 incluyen además la «Admisión Especial». El 5.2 reconoce tres modalidades con los nombres «Prueba de Suficiencia Académica, PSA», «Curso Prefacultativo, CPF» y «Admisión Especial, AE», mientras que el 4.1.4 dice «Examen de Suficiencia».</t>
        </is>
      </c>
      <c r="F28" s="7" t="inlineStr">
        <is>
          <t>En el cuadro del 4.1.4, nombrar las tres modalidades con los nombres del 5.2 (PSA, CPF y AE). Conviene también no repetir el cuadro IES que ya está en el 3.5.4 y remitir a él.</t>
        </is>
      </c>
      <c r="G28" s="9" t="inlineStr">
        <is>
          <t>Pendiente</t>
        </is>
      </c>
      <c r="H28" s="10" t="n"/>
    </row>
    <row r="29">
      <c r="A29" s="7" t="inlineStr">
        <is>
          <t>Remisión de la carga horaria por asignatura</t>
        </is>
      </c>
      <c r="B29" s="7" t="inlineStr">
        <is>
          <t>4.6.4 / 4.4.4 / 4.4.3</t>
        </is>
      </c>
      <c r="C29" s="7" t="inlineStr">
        <is>
          <t>Referencia rota</t>
        </is>
      </c>
      <c r="D29" s="8" t="inlineStr">
        <is>
          <t>Baja</t>
        </is>
      </c>
      <c r="E29" s="7" t="inlineStr">
        <is>
          <t>El punto 4.6.4 dice que las actividades se organizan «según la carga horaria presencial y no presencial de cada asignatura, definida en el punto 4.4.4». El 4.4.4 la presenta solo por año; la carga de cada asignatura está en la malla del 4.4.3 y en los planes de asignatura del 4.5.</t>
        </is>
      </c>
      <c r="F29" s="7" t="inlineStr">
        <is>
          <t>Cambiar a «definida en el punto 4.4.3 y en cada plan de asignatura del punto 4.5».</t>
        </is>
      </c>
      <c r="G29" s="9" t="inlineStr">
        <is>
          <t>Pendiente</t>
        </is>
      </c>
      <c r="H29" s="10" t="n"/>
    </row>
    <row r="30">
      <c r="A30" s="7" t="inlineStr">
        <is>
          <t>Remisión al Taller de Grado</t>
        </is>
      </c>
      <c r="B30" s="7" t="inlineStr">
        <is>
          <t>4.8.3 / 5.4 / 4.4.3 / 6.1.3</t>
        </is>
      </c>
      <c r="C30" s="7" t="inlineStr">
        <is>
          <t>Referencia rota</t>
        </is>
      </c>
      <c r="D30" s="8" t="inlineStr">
        <is>
          <t>Baja</t>
        </is>
      </c>
      <c r="E30" s="7" t="inlineStr">
        <is>
          <t>El punto 4.8.3 dice que la práctica «se articula con la modalidad de trabajo dirigido y con los proyectos del Taller de Grado, descritos en el punto 5.4». El 5.4 no describe el Taller de Grado (CPA-510); este aparece en la malla (4.4.3) y en el 6.1.3.</t>
        </is>
      </c>
      <c r="F30" s="7" t="inlineStr">
        <is>
          <t>Redactar: «[...] con la modalidad de trabajo dirigido, descrita en el punto 5.4.2, y con los proyectos del Taller de Grado CPA-510 (puntos 4.4.3 y 6.1.3)».</t>
        </is>
      </c>
      <c r="G30" s="9" t="inlineStr">
        <is>
          <t>Pendiente</t>
        </is>
      </c>
      <c r="H30" s="10" t="n"/>
    </row>
    <row r="31">
      <c r="A31" s="7" t="inlineStr">
        <is>
          <t>Gaceta del punto 7</t>
        </is>
      </c>
      <c r="B31" s="7" t="inlineStr">
        <is>
          <t>7</t>
        </is>
      </c>
      <c r="C31" s="7" t="inlineStr">
        <is>
          <t>Pendiente conocido</t>
        </is>
      </c>
      <c r="D31" s="8" t="inlineStr">
        <is>
          <t>Baja</t>
        </is>
      </c>
      <c r="E31" s="7" t="inlineStr">
        <is>
          <t>Pendiente señalado por la comisión respecto de la Gaceta en el punto 7, cuyo texto actual no la menciona.</t>
        </is>
      </c>
      <c r="F31" s="7" t="inlineStr">
        <is>
          <t>Pendiente ya identificado: completarlo según lo decida la comisión.</t>
        </is>
      </c>
      <c r="G31" s="9" t="inlineStr">
        <is>
          <t>Pendiente</t>
        </is>
      </c>
      <c r="H31" s="10" t="n"/>
    </row>
    <row r="32">
      <c r="A32" s="7" t="inlineStr">
        <is>
          <t>Unidad de las horas de investigación y práctica</t>
        </is>
      </c>
      <c r="B32" s="7" t="inlineStr">
        <is>
          <t>8.4 / 8.2 / 8.3</t>
        </is>
      </c>
      <c r="C32" s="7" t="inlineStr">
        <is>
          <t>Dato distinto</t>
        </is>
      </c>
      <c r="D32" s="8" t="inlineStr">
        <is>
          <t>Baja</t>
        </is>
      </c>
      <c r="E32" s="7" t="inlineStr">
        <is>
          <t>El punto 8.4, titulado «Carga horaria cronológica», dice que las HIP «se expresan en horas cronológicas», pero calcula su porcentaje sobre las «9.000 horas de trabajo». Según el 8.3, esas horas resultan de sumar 6.000 horas académicas presenciales (que equivalen a 4.500 cronológicas) y 3.000 no presenciales. La unidad de las 874 h no es la misma que la del denominador.</t>
        </is>
      </c>
      <c r="F32" s="7" t="inlineStr">
        <is>
          <t>Sin cambiar la cifra decidida (874 h = 9,7 % de 9.000), expresar las HIP en «horas de trabajo del estudiante», que es la misma unidad del denominador, y quitar o aclarar «se expresan en horas cronológicas».</t>
        </is>
      </c>
      <c r="G32" s="9" t="inlineStr">
        <is>
          <t>Pendiente</t>
        </is>
      </c>
      <c r="H32" s="10" t="n"/>
    </row>
    <row r="33">
      <c r="A33" s="7" t="inlineStr">
        <is>
          <t>Recuento de proyectores</t>
        </is>
      </c>
      <c r="B33" s="7" t="inlineStr">
        <is>
          <t>10.1 (Cuadro 1) / 14.2 / 15 (Cuadros 1 y 2)</t>
        </is>
      </c>
      <c r="C33" s="7" t="inlineStr">
        <is>
          <t>Dato distinto</t>
        </is>
      </c>
      <c r="D33" s="8" t="inlineStr">
        <is>
          <t>Baja</t>
        </is>
      </c>
      <c r="E33" s="7" t="inlineStr">
        <is>
          <t>El Cuadro 1 del 10.1 y el 14.2 registran 16 proyectores, 4 de ellos en los pabellones y ninguno en el auditorio. El punto 15 registra un proyector en el auditorio y, en el Pabellón A, «1, en uso; 1 inutilizado» (5 en los pabellones), y resume «de los 15 revisados, nueve tienen una calidad de proyección deficiente», aunque sus propios cuadros marcan 6 como deficientes.</t>
        </is>
      </c>
      <c r="F33" s="7" t="inlineStr">
        <is>
          <t>Conciliar el número y la ubicación de los proyectores entre el 10.1, el 14.2 y el 15, y recalcular el resumen del estado en el 15.</t>
        </is>
      </c>
      <c r="G33" s="9" t="inlineStr">
        <is>
          <t>Pendiente</t>
        </is>
      </c>
      <c r="H33" s="10" t="n"/>
    </row>
    <row r="34">
      <c r="A34" s="7" t="inlineStr">
        <is>
          <t>Piso del auditorio</t>
        </is>
      </c>
      <c r="B34" s="7" t="inlineStr">
        <is>
          <t>10.4 (Cuadro 4) / 14.7</t>
        </is>
      </c>
      <c r="C34" s="7" t="inlineStr">
        <is>
          <t>Dato distinto</t>
        </is>
      </c>
      <c r="D34" s="8" t="inlineStr">
        <is>
          <t>Baja</t>
        </is>
      </c>
      <c r="E34" s="7" t="inlineStr">
        <is>
          <t>El Cuadro 4 del 10.4 dice «Nava Morales | Auditorio | Segundo | Exclusivo | 247 m² | 220 personas». El 14.7 dice que el auditorio está «en el primer piso, con 247 m² y capacidad para 220 personas».</t>
        </is>
      </c>
      <c r="F34" s="7" t="inlineStr">
        <is>
          <t>Verificar el piso y usar el mismo dato en el 10.4 y en el 14.7.</t>
        </is>
      </c>
      <c r="G34" s="9" t="inlineStr">
        <is>
          <t>Pendiente</t>
        </is>
      </c>
      <c r="H34" s="10" t="n"/>
    </row>
    <row r="35">
      <c r="A35" s="7" t="inlineStr">
        <is>
          <t>Equipos del laboratorio del Monoblock Central</t>
        </is>
      </c>
      <c r="B35" s="7" t="inlineStr">
        <is>
          <t>10.4 / 10.7 (Cuadro 6) / 14.3 / 14.5 / 15</t>
        </is>
      </c>
      <c r="C35" s="7" t="inlineStr">
        <is>
          <t>Dato distinto</t>
        </is>
      </c>
      <c r="D35" s="8" t="inlineStr">
        <is>
          <t>Baja</t>
        </is>
      </c>
      <c r="E35" s="7" t="inlineStr">
        <is>
          <t>Para el mismo laboratorio, el 10.4 indica una capacidad de «36 estudiantes». El Cuadro 6 del 10.7 registra «Monoblock Central | 2 | 20 | 20 | 20» (equipos, muebles y sillas). Los puntos 14.3 y 14.5 hablan de «27 computadoras», y el 15 de «27 computadoras [...] 68 mesas para computadoras y 68 sillas».</t>
        </is>
      </c>
      <c r="F35" s="7" t="inlineStr">
        <is>
          <t>Unificar el inventario del laboratorio (computadoras, mesas y sillas) con el relevamiento de octubre de 2026 y ajustar la capacidad declarada en el 10.4 y en el 14.3.</t>
        </is>
      </c>
      <c r="G35" s="9" t="inlineStr">
        <is>
          <t>Pendiente</t>
        </is>
      </c>
      <c r="H35" s="10" t="n"/>
    </row>
    <row r="36">
      <c r="A36" s="7" t="inlineStr">
        <is>
          <t>Cifra de estudiantes en la plataforma Moodle</t>
        </is>
      </c>
      <c r="B36" s="7" t="inlineStr">
        <is>
          <t>10.12 / 2.1 / 2.7.2 / 10.4 / 14.4 / 14.9.1</t>
        </is>
      </c>
      <c r="C36" s="7" t="inlineStr">
        <is>
          <t>Dato distinto</t>
        </is>
      </c>
      <c r="D36" s="8" t="inlineStr">
        <is>
          <t>Baja</t>
        </is>
      </c>
      <c r="E36" s="7" t="inlineStr">
        <is>
          <t>El punto 10.12 dice que la plataforma Moodle tiene limitaciones «en consideración de que existen 3184 estudiantes». El 2.1 da 3.247 inscritos en 2025 (3.143 en La Paz y 104 en las sedes desconcentradas), y los puntos 10.4, 14.4 y 14.9.1 usan 3.143.</t>
        </is>
      </c>
      <c r="F36" s="7" t="inlineStr">
        <is>
          <t>Reemplazar 3184 por la cifra oficial (3.247 inscritos en 2025, o 3.143 si se refiere solo a la sede de La Paz) y precisar a cuál corresponde.</t>
        </is>
      </c>
      <c r="G36" s="9" t="inlineStr">
        <is>
          <t>Pendiente</t>
        </is>
      </c>
      <c r="H36" s="10" t="n"/>
    </row>
    <row r="37">
      <c r="A37" s="7" t="inlineStr">
        <is>
          <t>Plazo del edificio propio</t>
        </is>
      </c>
      <c r="B37" s="7" t="inlineStr">
        <is>
          <t>11.1.4 (Cuadro 6) / 14.9.1</t>
        </is>
      </c>
      <c r="C37" s="7" t="inlineStr">
        <is>
          <t>Dato distinto</t>
        </is>
      </c>
      <c r="D37" s="8" t="inlineStr">
        <is>
          <t>Baja</t>
        </is>
      </c>
      <c r="E37" s="7" t="inlineStr">
        <is>
          <t>El Cuadro 6 del 11.1.4 asigna a la «Infraestructura propia | Gestión ante la Universidad de un predio centralizado» un plazo «Mediano». El 14.9.1 presenta el edificio propio y centralizado «como requerimiento de largo plazo».</t>
        </is>
      </c>
      <c r="F37" s="7" t="inlineStr">
        <is>
          <t>Unificar el plazo (mediano o largo) en el 11.1.4 y en el 14.9.1.</t>
        </is>
      </c>
      <c r="G37" s="9" t="inlineStr">
        <is>
          <t>Pendiente</t>
        </is>
      </c>
      <c r="H37" s="10" t="n"/>
    </row>
    <row r="38">
      <c r="A38" s="7" t="inlineStr">
        <is>
          <t>Instrumento de seguimiento a titulados</t>
        </is>
      </c>
      <c r="B38" s="7" t="inlineStr">
        <is>
          <t>12.1.3 (Cuadro 2) / 12.2</t>
        </is>
      </c>
      <c r="C38" s="7" t="inlineStr">
        <is>
          <t>Referencia rota</t>
        </is>
      </c>
      <c r="D38" s="8" t="inlineStr">
        <is>
          <t>Baja</t>
        </is>
      </c>
      <c r="E38" s="7" t="inlineStr">
        <is>
          <t>El Cuadro 2 del 12.1.3 menciona la «Encuesta de seguimiento a titulados con el instrumento común del punto 12.2». El 12.2 solo enumera pasos de procedimiento, alude a «la fórmula del estudio original» y no presenta ni identifica el instrumento.</t>
        </is>
      </c>
      <c r="F38" s="7" t="inlineStr">
        <is>
          <t>Incorporar o identificar en el 12.2 el instrumento, es decir, el cuestionario y el estudio de referencia, o cambiar la remisión en el 12.1.3.</t>
        </is>
      </c>
      <c r="G38" s="9" t="inlineStr">
        <is>
          <t>Pendiente</t>
        </is>
      </c>
      <c r="H38" s="10" t="n"/>
    </row>
    <row r="39">
      <c r="A39" s="7" t="inlineStr">
        <is>
          <t>Cronograma en los planes de asignatura</t>
        </is>
      </c>
      <c r="B39" s="7" t="inlineStr">
        <is>
          <t>12.1.4 / 4.7.3 / 4.5</t>
        </is>
      </c>
      <c r="C39" s="7" t="inlineStr">
        <is>
          <t>Dato distinto</t>
        </is>
      </c>
      <c r="D39" s="8" t="inlineStr">
        <is>
          <t>Baja</t>
        </is>
      </c>
      <c r="E39" s="7" t="inlineStr">
        <is>
          <t>El punto 12.1.4 dice que el monitoreo «contrasta el avance programado en los itinerarios formativos con el efectivamente alcanzado», y el 4.7.3, que el plan de asignatura incluye «el cronograma de evaluaciones». Los planes del 4.5 no tienen cronograma semanal ni calendario de avance (decisión de la comisión).</t>
        </is>
      </c>
      <c r="F39" s="7" t="inlineStr">
        <is>
          <t>Redactar que el docente presenta al inicio de la gestión un cronograma de avance y de evaluaciones complementario al plan de asignatura, o que el monitoreo se hace por elemento de competencia y no contra un cronograma del plan.</t>
        </is>
      </c>
      <c r="G39" s="9" t="inlineStr">
        <is>
          <t>Pendiente</t>
        </is>
      </c>
      <c r="H39" s="10" t="n"/>
    </row>
    <row r="40">
      <c r="A40" s="7" t="inlineStr">
        <is>
          <t>Remisión al punto 7.1.3 inexistente</t>
        </is>
      </c>
      <c r="B40" s="7" t="inlineStr">
        <is>
          <t>13.1.2 (Cuadro 2) / 7.1</t>
        </is>
      </c>
      <c r="C40" s="7" t="inlineStr">
        <is>
          <t>Pendiente conocido</t>
        </is>
      </c>
      <c r="D40" s="8" t="inlineStr">
        <is>
          <t>Baja</t>
        </is>
      </c>
      <c r="E40" s="7" t="inlineStr">
        <is>
          <t>El Cuadro 2 del 13.1.2 da «Reglamento de Interacción Social | [...] | Punto 7.1.3», pero el punto 7.1 solo tiene los subpuntos 7.1.1 y 7.1.2.</t>
        </is>
      </c>
      <c r="F40" s="7" t="inlineStr">
        <is>
          <t>Pendiente ya identificado: remitir al 7.1 o crear el contenido.</t>
        </is>
      </c>
      <c r="G40" s="9" t="inlineStr">
        <is>
          <t>Pendiente</t>
        </is>
      </c>
      <c r="H40" s="10" t="n"/>
    </row>
    <row r="41">
      <c r="A41" s="7" t="inlineStr">
        <is>
          <t>Descripción resumida de los grados técnicos en el Art. 5</t>
        </is>
      </c>
      <c r="B41" s="7" t="inlineStr">
        <is>
          <t>13.1.4 (Art. 5 vs Arts. 4, 87-Bis y 89) / 4.3.5</t>
        </is>
      </c>
      <c r="C41" s="7" t="inlineStr">
        <is>
          <t>Dato distinto</t>
        </is>
      </c>
      <c r="D41" s="8" t="inlineStr">
        <is>
          <t>Baja</t>
        </is>
      </c>
      <c r="E41" s="7" t="inlineStr">
        <is>
          <t>El Art. 5 describe el examen de Técnico Superior como evaluación de las «ocho (8) asignaturas [...] del ciclo intermedio (Primer a Tercer año)», pero el plan no tiene ningún «ciclo intermedio»: el 4.3.5 define un ciclo básico (1.° y 2.°), un ciclo profesional (3.° y 4.°) y un ciclo de integración (5.°). Para el TUM, el Art. 5 dice «Graduación Directa: Al vencimiento de las asignaturas de primer y segundo año», sin la condición de los Arts. 4 y 87-Bis: «en dos (2) gestiones continuas».</t>
        </is>
      </c>
      <c r="F41" s="7" t="inlineStr">
        <is>
          <t>En el Art. 5, cambiar «del ciclo intermedio (Primer a Tercer año)» por «de información financiera de primer a tercer año (Art. 89)» y agregar al TUM «aprobadas en dos gestiones académicas continuas (Res. HCU 426/2024)».</t>
        </is>
      </c>
      <c r="G41" s="9" t="inlineStr">
        <is>
          <t>Pendiente</t>
        </is>
      </c>
      <c r="H41" s="10" t="n"/>
    </row>
    <row r="42">
      <c r="A42" s="7" t="inlineStr">
        <is>
          <t>Cómputo del plazo de la tesis y del proyecto de grado</t>
        </is>
      </c>
      <c r="B42" s="7" t="inlineStr">
        <is>
          <t>13.1.4 (Art. 9 vs Arts. 20, 35 y 36)</t>
        </is>
      </c>
      <c r="C42" s="7" t="inlineStr">
        <is>
          <t>Dato distinto</t>
        </is>
      </c>
      <c r="D42" s="8" t="inlineStr">
        <is>
          <t>Baja</t>
        </is>
      </c>
      <c r="E42" s="7" t="inlineStr">
        <is>
          <t>El Art. 9 computa los «doce (12) meses calendario» de la tesis y del proyecto «a partir de la notificación con la Resolución de Dirección de Carrera», es decir, la de habilitación del Art. 8. Los Arts. 20, 35 y 36 computan los mismos 12 meses «a partir de la aprobación del perfil».</t>
        </is>
      </c>
      <c r="F42" s="7" t="inlineStr">
        <is>
          <t>Unificar el momento desde el que corre el plazo (se sugiere la aprobación del perfil) en el Art. 9.</t>
        </is>
      </c>
      <c r="G42" s="9" t="inlineStr">
        <is>
          <t>Pendiente</t>
        </is>
      </c>
      <c r="H42" s="10" t="n"/>
    </row>
    <row r="43">
      <c r="A43" s="7" t="inlineStr">
        <is>
          <t>Nombre del Instituto de Investigaciones</t>
        </is>
      </c>
      <c r="B43" s="7" t="inlineStr">
        <is>
          <t>13.1.4 (Art. 11) / 2.5.2 / 6 / 13.2.1</t>
        </is>
      </c>
      <c r="C43" s="7" t="inlineStr">
        <is>
          <t>Dato distinto</t>
        </is>
      </c>
      <c r="D43" s="8" t="inlineStr">
        <is>
          <t>Baja</t>
        </is>
      </c>
      <c r="E43" s="7" t="inlineStr">
        <is>
          <t>El Art. 11 lo llama «Instituto de Investigaciones en Ciencias Contables, Financieras y de Auditoría (IICCFA)». Los puntos 2.5.2, 6 y 13.2.1, de acuerdo con la Res. HCU 457/2004, lo llaman «Instituto de Investigaciones de Ciencias Contables, Financieras y Auditoría».</t>
        </is>
      </c>
      <c r="F43" s="7" t="inlineStr">
        <is>
          <t>Corregir el Art. 11 con el nombre oficial: «Instituto de Investigaciones de Ciencias Contables, Financieras y Auditoría».</t>
        </is>
      </c>
      <c r="G43" s="9" t="inlineStr">
        <is>
          <t>Pendiente</t>
        </is>
      </c>
      <c r="H43" s="10" t="n"/>
    </row>
    <row r="44">
      <c r="A44" s="7" t="inlineStr">
        <is>
          <t>Escala cualitativa de calificación por modalidad</t>
        </is>
      </c>
      <c r="B44" s="7" t="inlineStr">
        <is>
          <t>13.1.4 (Arts. 25, 41, 55 y 66) / 5.4.2</t>
        </is>
      </c>
      <c r="C44" s="7" t="inlineStr">
        <is>
          <t>Dato distinto</t>
        </is>
      </c>
      <c r="D44" s="8" t="inlineStr">
        <is>
          <t>Baja</t>
        </is>
      </c>
      <c r="E44" s="7" t="inlineStr">
        <is>
          <t>El mismo rango de puntos recibe nombres distintos según la modalidad. En los Arts. 25 y 41: «Aprobado – Buena | 51 – 70; Sobresaliente – Con recomendación de publicación | 71 – 89; Excelente – Con mención honorífica [...] | 90 – 100». En el Art. 55 y el 5.4.2: «Aprobado – Bueno; Aprobado – Sobresaliente; Excelente – Excelencia». En el Art. 66: «Aprobado – Excelencia | 90 – 100». Todas se presentan como la escala «aprobada por el Sistema Universitario (CEUB / UMSA)».</t>
        </is>
      </c>
      <c r="F44" s="7" t="inlineStr">
        <is>
          <t>Adoptar una sola escala oficial en todos los artículos del 13.1.4 y en el 5.4.2. Si se quiere, la mención de publicación puede añadirse como nota solo para la tesis y el proyecto.</t>
        </is>
      </c>
      <c r="G44" s="9" t="inlineStr">
        <is>
          <t>Pendiente</t>
        </is>
      </c>
      <c r="H44" s="10" t="n"/>
    </row>
    <row r="45">
      <c r="A45" s="7" t="inlineStr">
        <is>
          <t>Remisión interna del Reglamento sobre la ponderación del proyecto de grado</t>
        </is>
      </c>
      <c r="B45" s="7" t="inlineStr">
        <is>
          <t>13.1.4 (Art. 41) / 13.1.4 (Art. 23)</t>
        </is>
      </c>
      <c r="C45" s="7" t="inlineStr">
        <is>
          <t>Referencia rota</t>
        </is>
      </c>
      <c r="D45" s="8" t="inlineStr">
        <is>
          <t>Baja</t>
        </is>
      </c>
      <c r="E45" s="7" t="inlineStr">
        <is>
          <t>El Art. 41 justifica la ponderación 40/30/30 «en estricta concordancia con [...] el Artículo 23.c del Reglamento de Graduación». El Art. 23 trata de la «Fijación de Fecha y Requisitos para el Acto Público de Sustentación» de la tesis y no tiene inciso c ni ponderaciones.</t>
        </is>
      </c>
      <c r="F45" s="7" t="inlineStr">
        <is>
          <t>Eliminar la cita al «Artículo 23.c» y dejar la remisión al 5.4.2, o citar el artículo correcto.</t>
        </is>
      </c>
      <c r="G45" s="9" t="inlineStr">
        <is>
          <t>Pendiente</t>
        </is>
      </c>
      <c r="H45" s="10" t="n"/>
    </row>
    <row r="46">
      <c r="A46" s="7" t="inlineStr">
        <is>
          <t>Metas del Instituto de Investigaciones</t>
        </is>
      </c>
      <c r="B46" s="7" t="inlineStr">
        <is>
          <t>13.2.2 (Cuadro 3) / 6.1.4</t>
        </is>
      </c>
      <c r="C46" s="7" t="inlineStr">
        <is>
          <t>Referencia rota</t>
        </is>
      </c>
      <c r="D46" s="8" t="inlineStr">
        <is>
          <t>Baja</t>
        </is>
      </c>
      <c r="E46" s="7" t="inlineStr">
        <is>
          <t>El Cuadro 3 del 13.2.2 pide producción y difusión «conforme a las metas del punto 6.1.4». El 6.1.4 solo describe la carga de 320 horas mensuales y el diagnóstico de tesis, sin ninguna meta.</t>
        </is>
      </c>
      <c r="F46" s="7" t="inlineStr">
        <is>
          <t>Incluir metas de producción en el 6.1 (o en el 6.1.4) o cambiar la remisión a los lineamientos del 6.1.2.</t>
        </is>
      </c>
      <c r="G46" s="9" t="inlineStr">
        <is>
          <t>Pendiente</t>
        </is>
      </c>
      <c r="H46" s="10" t="n"/>
    </row>
    <row r="47">
      <c r="A47" s="7" t="inlineStr">
        <is>
          <t>Remisión a una modalidad híbrida</t>
        </is>
      </c>
      <c r="B47" s="7" t="inlineStr">
        <is>
          <t>14.2 / 5.3.3 / 11.1.4</t>
        </is>
      </c>
      <c r="C47" s="7" t="inlineStr">
        <is>
          <t>Referencia rota</t>
        </is>
      </c>
      <c r="D47" s="8" t="inlineStr">
        <is>
          <t>Baja</t>
        </is>
      </c>
      <c r="E47" s="7" t="inlineStr">
        <is>
          <t>El punto 14.2 dice que faltan equipos de grabación y transmisión, «que serán necesarios para la modalidad híbrida prevista en el punto 5.3.3». El 5.3.3 trata de los cursos intensivos de temporada y no prevé ninguna modalidad híbrida; las clases híbridas se mencionan en el Cuadro 6 del 11.1.4 (aula multipropósito).</t>
        </is>
      </c>
      <c r="F47" s="7" t="inlineStr">
        <is>
          <t>Cambiar la remisión a «punto 11.1.4 (aula multipropósito para clases híbridas)».</t>
        </is>
      </c>
      <c r="G47" s="9" t="inlineStr">
        <is>
          <t>Pendiente</t>
        </is>
      </c>
      <c r="H47" s="10" t="n"/>
    </row>
    <row r="48">
      <c r="A48" s="7" t="inlineStr">
        <is>
          <t>Salida intermedia de TUM en el cronograma</t>
        </is>
      </c>
      <c r="B48" s="7" t="inlineStr">
        <is>
          <t>16.2 (Cuadro 2) / 5.4.1 / 13.1.4 (Art. 87-Bis)</t>
        </is>
      </c>
      <c r="C48" s="7" t="inlineStr">
        <is>
          <t>Dato distinto</t>
        </is>
      </c>
      <c r="D48" s="8" t="inlineStr">
        <is>
          <t>Baja</t>
        </is>
      </c>
      <c r="E48" s="7" t="inlineStr">
        <is>
          <t>El Cuadro 2 del 16.2 prevé en 2029 la «Habilitación de la salida intermedia de Técnico Superior en Contabilidad General», pero no menciona el Técnico Universitario Medio. Según el 5.4.1 y el Art. 87-Bis, el TUM se otorga directamente al aprobar 1.° y 2.° año, lo que para la primera cohorte ocurre al cierre de 2028.</t>
        </is>
      </c>
      <c r="F48" s="7" t="inlineStr">
        <is>
          <t>Agregar en la fila 2028 del Cuadro 2: «Habilitación de la salida intermedia de Técnico Universitario Medio en Contabilidad (otorgación directa)».</t>
        </is>
      </c>
      <c r="G48" s="9" t="inlineStr">
        <is>
          <t>Pendiente</t>
        </is>
      </c>
      <c r="H48" s="10" t="n"/>
    </row>
    <row r="49">
      <c r="A49" s="7" t="inlineStr">
        <is>
          <t>Cursos de temporada y mesas de examen para rezagados del Plan 2013</t>
        </is>
      </c>
      <c r="B49" s="7" t="inlineStr">
        <is>
          <t>16.3 / 13.1.3 / 5.3.4 / 3.1.1</t>
        </is>
      </c>
      <c r="C49" s="7" t="inlineStr">
        <is>
          <t>Dato distinto</t>
        </is>
      </c>
      <c r="D49" s="8" t="inlineStr">
        <is>
          <t>Baja</t>
        </is>
      </c>
      <c r="E49" s="7" t="inlineStr">
        <is>
          <t>El punto 16.3 permite habilitar «cursos de temporada y mesas de examen de sus asignaturas [del Plan 2013] para los estudiantes rezagados, conforme al punto 13.1.3». El 13.1.3 (como el 5.3.4) solo habilita mesas para ocho asignaturas del nuevo plan (ADM-101, [...] CPA-406), y el 3.1.1 señala que el Plan 2013 «no regula [...] la Mesa de Examen».</t>
        </is>
      </c>
      <c r="F49" s="7" t="inlineStr">
        <is>
          <t>Precisar en el 16.3 qué asignaturas del Plan 2013 pueden ofrecerse (por ejemplo, las equivalentes a las habilitadas en los puntos 5.3.3 y 5.3.4 según el Cuadro 1 del 16.1.3), o remitir a esas equivalencias.</t>
        </is>
      </c>
      <c r="G49" s="9" t="inlineStr">
        <is>
          <t>Pendiente</t>
        </is>
      </c>
      <c r="H49" s="10" t="n"/>
    </row>
  </sheetData>
  <autoFilter ref="A3:H49"/>
  <conditionalFormatting sqref="G4:G49">
    <cfRule type="expression" priority="1" dxfId="0">
      <formula>$G4="Corregido"</formula>
    </cfRule>
    <cfRule type="expression" priority="2" dxfId="1">
      <formula>$G4="En proceso"</formula>
    </cfRule>
    <cfRule type="expression" priority="3" dxfId="2">
      <formula>$G4="Pendiente"</formula>
    </cfRule>
    <cfRule type="expression" priority="4" dxfId="3">
      <formula>$G4="No aplica"</formula>
    </cfRule>
  </conditionalFormatting>
  <conditionalFormatting sqref="D4:D49">
    <cfRule type="expression" priority="5" dxfId="2">
      <formula>$D4="Alta"</formula>
    </cfRule>
    <cfRule type="expression" priority="6" dxfId="1">
      <formula>$D4="Media"</formula>
    </cfRule>
    <cfRule type="expression" priority="7" dxfId="4">
      <formula>$D4="Baja"</formula>
    </cfRule>
  </conditionalFormatting>
  <dataValidations count="1">
    <dataValidation sqref="G4:G49" showDropDown="0" showInputMessage="0" showErrorMessage="0" allowBlank="1" type="list">
      <formula1>"Pendiente,En proceso,Corregido,No aplica"</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2026-10-18T22:18:25Z</dcterms:created>
  <dcterms:modified xmlns:dcterms="http://purl.org/dc/terms/" xmlns:xsi="http://www.w3.org/2001/XMLSchema-instance" xsi:type="dcterms:W3CDTF">2026-10-18T22:18:25Z</dcterms:modified>
</cp:coreProperties>
</file>