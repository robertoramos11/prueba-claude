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0" activeTab="0" autoFilterDateGrouping="1"/>
  </bookViews>
  <sheets>
    <sheet xmlns:r="http://schemas.openxmlformats.org/officeDocument/2006/relationships" name="Checklist" sheetId="1" state="visible" r:id="rId1"/>
    <sheet xmlns:r="http://schemas.openxmlformats.org/officeDocument/2006/relationships" name="Resumen" sheetId="2" state="visible" r:id="rId2"/>
  </sheets>
  <definedNames>
    <definedName name="_xlnm._FilterDatabase" localSheetId="0" hidden="1">'Checklist'!$A$4:$I$137</definedName>
    <definedName name="_xlnm.Print_Titles" localSheetId="0">'Checklist'!$4:$4</definedName>
  </definedNames>
  <calcPr calcId="191029" fullCalcOnLoad="1"/>
</workbook>
</file>

<file path=xl/styles.xml><?xml version="1.0" encoding="utf-8"?>
<styleSheet xmlns="http://schemas.openxmlformats.org/spreadsheetml/2006/main">
  <numFmts count="1">
    <numFmt numFmtId="164" formatCode="dd/mm/yyyy"/>
  </numFmts>
  <fonts count="6">
    <font>
      <name val="Calibri"/>
      <family val="2"/>
      <color theme="1"/>
      <sz val="11"/>
      <scheme val="minor"/>
    </font>
    <font>
      <name val="Century Gothic"/>
      <b val="1"/>
      <color rgb="FF4472C4"/>
      <sz val="14"/>
    </font>
    <font>
      <name val="Century Gothic"/>
      <i val="1"/>
      <color rgb="FF595959"/>
      <sz val="10"/>
    </font>
    <font>
      <name val="Century Gothic"/>
      <b val="1"/>
      <color rgb="FFFFFFFF"/>
      <sz val="10"/>
    </font>
    <font>
      <name val="Century Gothic"/>
      <sz val="10"/>
    </font>
    <font>
      <name val="Century Gothic"/>
      <b val="1"/>
      <sz val="10"/>
    </font>
  </fonts>
  <fills count="4">
    <fill>
      <patternFill/>
    </fill>
    <fill>
      <patternFill patternType="gray125"/>
    </fill>
    <fill>
      <patternFill patternType="solid">
        <fgColor rgb="FF4472C4"/>
      </patternFill>
    </fill>
    <fill>
      <patternFill patternType="solid">
        <fgColor rgb="FFD9E2F3"/>
      </patternFill>
    </fill>
  </fills>
  <borders count="2">
    <border>
      <left/>
      <right/>
      <top/>
      <bottom/>
      <diagonal/>
    </border>
    <border>
      <left style="thin">
        <color rgb="FF8EAADB"/>
      </left>
      <right style="thin">
        <color rgb="FF8EAADB"/>
      </right>
      <top style="thin">
        <color rgb="FF8EAADB"/>
      </top>
      <bottom style="thin">
        <color rgb="FF8EAADB"/>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3" fillId="2" borderId="1" applyAlignment="1" pivotButton="0" quotePrefix="0" xfId="0">
      <alignment horizontal="left" vertical="center" wrapText="1"/>
    </xf>
    <xf numFmtId="0" fontId="3" fillId="2" borderId="1" applyAlignment="1" pivotButton="0" quotePrefix="0" xfId="0">
      <alignment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indent="2"/>
    </xf>
    <xf numFmtId="0" fontId="4" fillId="0" borderId="1" applyAlignment="1" pivotButton="0" quotePrefix="0" xfId="0">
      <alignment horizontal="left" vertical="center" wrapText="1"/>
    </xf>
    <xf numFmtId="164" fontId="4" fillId="0" borderId="1" applyAlignment="1" pivotButton="0" quotePrefix="0" xfId="0">
      <alignment horizontal="center" vertical="center" wrapText="1"/>
    </xf>
    <xf numFmtId="0" fontId="4" fillId="0" borderId="1" applyAlignment="1" pivotButton="0" quotePrefix="0" xfId="0">
      <alignment vertical="center" wrapText="1"/>
    </xf>
    <xf numFmtId="0" fontId="5" fillId="3" borderId="1" applyAlignment="1" pivotButton="0" quotePrefix="0" xfId="0">
      <alignment horizontal="center" vertical="center" wrapText="1"/>
    </xf>
    <xf numFmtId="0" fontId="5" fillId="3" borderId="1" applyAlignment="1" pivotButton="0" quotePrefix="0" xfId="0">
      <alignment horizontal="left" vertical="center" wrapText="1" indent="1"/>
    </xf>
    <xf numFmtId="0" fontId="5" fillId="3" borderId="1" applyAlignment="1" pivotButton="0" quotePrefix="0" xfId="0">
      <alignment horizontal="left" vertical="center" wrapText="1"/>
    </xf>
    <xf numFmtId="0" fontId="5" fillId="3" borderId="1" applyAlignment="1" pivotButton="0" quotePrefix="0" xfId="0">
      <alignment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left" vertical="center" wrapText="1"/>
    </xf>
    <xf numFmtId="164" fontId="5" fillId="0" borderId="1" applyAlignment="1" pivotButton="0" quotePrefix="0" xfId="0">
      <alignment horizontal="center" vertical="center" wrapText="1"/>
    </xf>
    <xf numFmtId="0" fontId="5" fillId="0" borderId="1" applyAlignment="1" pivotButton="0" quotePrefix="0" xfId="0">
      <alignment vertical="center" wrapText="1"/>
    </xf>
    <xf numFmtId="9" fontId="4" fillId="0" borderId="1" applyAlignment="1" pivotButton="0" quotePrefix="0" xfId="0">
      <alignment horizontal="center" vertical="center" wrapText="1"/>
    </xf>
    <xf numFmtId="0" fontId="5" fillId="3" borderId="1" applyAlignment="1" pivotButton="0" quotePrefix="0" xfId="0">
      <alignment horizontal="center" vertical="center"/>
    </xf>
    <xf numFmtId="0" fontId="5" fillId="3" borderId="1" applyAlignment="1" pivotButton="0" quotePrefix="0" xfId="0">
      <alignment horizontal="left" vertical="center"/>
    </xf>
    <xf numFmtId="9" fontId="5" fillId="3" borderId="1" applyAlignment="1" pivotButton="0" quotePrefix="0" xfId="0">
      <alignment horizontal="center" vertical="center"/>
    </xf>
    <xf numFmtId="0" fontId="4" fillId="0" borderId="1" applyAlignment="1" pivotButton="0" quotePrefix="0" xfId="0">
      <alignment vertical="top" wrapText="1"/>
    </xf>
    <xf numFmtId="0" fontId="5" fillId="0" borderId="1" applyAlignment="1" pivotButton="0" quotePrefix="0" xfId="0">
      <alignment vertical="top" wrapText="1"/>
    </xf>
    <xf numFmtId="164" fontId="3" fillId="2" borderId="1" applyAlignment="1" pivotButton="0" quotePrefix="0" xfId="0">
      <alignment horizontal="center" vertical="center" wrapText="1"/>
    </xf>
    <xf numFmtId="0" fontId="3" fillId="2" borderId="1" applyAlignment="1" pivotButton="0" quotePrefix="0" xfId="0">
      <alignment vertical="top" wrapText="1"/>
    </xf>
    <xf numFmtId="0" fontId="5" fillId="3" borderId="1" applyAlignment="1" pivotButton="0" quotePrefix="0" xfId="0">
      <alignment vertical="top" wrapText="1"/>
    </xf>
  </cellXfs>
  <cellStyles count="1">
    <cellStyle name="Normal" xfId="0" builtinId="0"/>
  </cellStyles>
  <dxfs count="7">
    <dxf>
      <font>
        <color rgb="FF006100"/>
      </font>
      <fill>
        <patternFill patternType="solid">
          <fgColor rgb="FFC6EFCE"/>
        </patternFill>
      </fill>
    </dxf>
    <dxf>
      <font>
        <name val="Century Gothic"/>
        <i val="1"/>
        <color rgb="FF595959"/>
      </font>
      <fill>
        <patternFill patternType="solid">
          <fgColor rgb="FFD9D9D9"/>
        </patternFill>
      </fill>
    </dxf>
    <dxf>
      <font>
        <name val="Century Gothic"/>
        <b val="1"/>
        <color rgb="FF9C0006"/>
      </font>
      <fill>
        <patternFill patternType="solid">
          <fgColor rgb="FFFFC7CE"/>
        </patternFill>
      </fill>
    </dxf>
    <dxf>
      <font>
        <name val="Century Gothic"/>
        <b val="1"/>
        <color rgb="FF9C5700"/>
      </font>
      <fill>
        <patternFill patternType="solid">
          <fgColor rgb="FFFFEB9C"/>
        </patternFill>
      </fill>
    </dxf>
    <dxf>
      <font>
        <name val="Century Gothic"/>
        <b val="1"/>
        <color rgb="FF9C5700"/>
      </font>
      <fill>
        <patternFill patternType="solid">
          <fgColor rgb="FFFFEB9C"/>
        </patternFill>
      </fill>
    </dxf>
    <dxf>
      <font>
        <name val="Century Gothic"/>
        <b val="1"/>
        <color rgb="FF006100"/>
      </font>
      <fill>
        <patternFill patternType="solid">
          <fgColor rgb="FFC6EFCE"/>
        </patternFill>
      </fill>
    </dxf>
    <dxf>
      <font>
        <name val="Century Gothic"/>
        <b val="1"/>
        <color rgb="FF006100"/>
      </font>
      <fill>
        <patternFill patternType="solid">
          <f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137"/>
  <sheetViews>
    <sheetView tabSelected="1" workbookViewId="0">
      <pane xSplit="2" ySplit="4" topLeftCell="D5" activePane="bottomRight" state="frozen"/>
      <selection pane="topRight" activeCell="A1" sqref="A1"/>
      <selection pane="bottomLeft" activeCell="A1" sqref="A1"/>
      <selection pane="bottomRight" activeCell="E129" sqref="E129"/>
    </sheetView>
  </sheetViews>
  <sheetFormatPr baseColWidth="10" defaultColWidth="8.88671875" defaultRowHeight="14.4"/>
  <cols>
    <col width="8" customWidth="1" min="1" max="1"/>
    <col width="58" customWidth="1" min="2" max="2"/>
    <col width="30" customWidth="1" min="3" max="4"/>
    <col width="15" customWidth="1" min="5" max="5"/>
    <col width="13" customWidth="1" min="6" max="7"/>
    <col width="12" customWidth="1" min="8" max="8"/>
    <col width="40" customWidth="1" min="9" max="9"/>
    <col hidden="1" width="6" customWidth="1" min="10" max="10"/>
    <col width="45" customWidth="1" min="11" max="11"/>
  </cols>
  <sheetData>
    <row r="1" ht="17.4" customHeight="1">
      <c r="A1" s="1" t="inlineStr">
        <is>
          <t>Rediseño Curricular 2026 · Control de entregas de las subcomisiones</t>
        </is>
      </c>
    </row>
    <row r="2">
      <c r="A2" s="2" t="inlineStr">
        <is>
          <t>Carrera de Contaduría Pública · Facultad de Ciencias Económicas y Financieras · Universidad Mayor de San Andrés</t>
        </is>
      </c>
    </row>
    <row r="4" ht="30" customHeight="1">
      <c r="A4" s="3" t="inlineStr">
        <is>
          <t>Código</t>
        </is>
      </c>
      <c r="B4" s="3" t="inlineStr">
        <is>
          <t>Punto del índice</t>
        </is>
      </c>
      <c r="C4" s="3" t="inlineStr">
        <is>
          <t>Responsable docente</t>
        </is>
      </c>
      <c r="D4" s="3" t="inlineStr">
        <is>
          <t>Responsable estudiantil</t>
        </is>
      </c>
      <c r="E4" s="3" t="inlineStr">
        <is>
          <t>Estado</t>
        </is>
      </c>
      <c r="F4" s="3" t="inlineStr">
        <is>
          <t>Fecha de recepción</t>
        </is>
      </c>
      <c r="G4" s="3" t="inlineStr">
        <is>
          <t>Formato recibido</t>
        </is>
      </c>
      <c r="H4" s="3" t="inlineStr">
        <is>
          <t>Adaptado al formato</t>
        </is>
      </c>
      <c r="I4" s="3" t="inlineStr">
        <is>
          <t>Observaciones</t>
        </is>
      </c>
      <c r="J4" s="3" t="inlineStr">
        <is>
          <t>Entregable</t>
        </is>
      </c>
      <c r="K4" s="3" t="inlineStr">
        <is>
          <t>Información extraída de internet (verificar)</t>
        </is>
      </c>
    </row>
    <row r="5">
      <c r="A5" s="3" t="inlineStr">
        <is>
          <t>1.</t>
        </is>
      </c>
      <c r="B5" s="4" t="inlineStr">
        <is>
          <t>Identificación del programa/carrera</t>
        </is>
      </c>
      <c r="C5" s="4" t="inlineStr">
        <is>
          <t>Edwin Gutiérrez Zapana</t>
        </is>
      </c>
      <c r="D5" s="4" t="inlineStr">
        <is>
          <t>Alarcon Pablo Alejandro</t>
        </is>
      </c>
      <c r="E5" s="3">
        <f>IF(SUMPRODUCT(($J$6:$J$18=1)*($E$6:$E$18&lt;&gt;"No aplica"))=0,"No aplica",IF(SUMPRODUCT(($J$6:$J$18=1)*($E$6:$E$18="Entregado"))=SUMPRODUCT(($J$6:$J$18=1)*($E$6:$E$18&lt;&gt;"No aplica")),"Completo",IF(SUMPRODUCT(($J$6:$J$18=1)*($E$6:$E$18="Pendiente"))=SUMPRODUCT(($J$6:$J$18=1)*($E$6:$E$18&lt;&gt;"No aplica")),"Pendiente","En proceso")))</f>
        <v/>
      </c>
      <c r="F5" s="3">
        <f>SUMPRODUCT(($J$6:$J$18=1)*($E$6:$E$18="Entregado"))&amp;" de "&amp;SUMPRODUCT(($J$6:$J$18=1)*($E$6:$E$18&lt;&gt;"No aplica"))</f>
        <v/>
      </c>
      <c r="G5" s="3" t="inlineStr">
        <is>
          <t>—</t>
        </is>
      </c>
      <c r="H5" s="3" t="inlineStr">
        <is>
          <t>—</t>
        </is>
      </c>
      <c r="I5" s="5" t="n"/>
      <c r="J5" s="3" t="n">
        <v>0</v>
      </c>
      <c r="K5" s="5" t="n"/>
    </row>
    <row r="6">
      <c r="A6" s="6" t="inlineStr">
        <is>
          <t>1.1</t>
        </is>
      </c>
      <c r="B6" s="7" t="inlineStr">
        <is>
          <t>Facultad</t>
        </is>
      </c>
      <c r="C6" s="8" t="inlineStr">
        <is>
          <t>Edwin Gutiérrez Zapana</t>
        </is>
      </c>
      <c r="D6" s="8" t="inlineStr">
        <is>
          <t>Alarcon Pablo Alejandro</t>
        </is>
      </c>
      <c r="E6" s="6" t="inlineStr">
        <is>
          <t>Entregado</t>
        </is>
      </c>
      <c r="F6" s="9" t="n">
        <v>46308</v>
      </c>
      <c r="G6" s="6" t="inlineStr">
        <is>
          <t>Word</t>
        </is>
      </c>
      <c r="H6" s="6" t="inlineStr">
        <is>
          <t>Sí</t>
        </is>
      </c>
      <c r="I6" s="24" t="inlineStr">
        <is>
          <t>Fuentes: Plan 2027 (1.1) y Plan 2024 (1.1, párrafo sobre autonomía y cogobierno, redacción corregida). La mención de las Carreras de Economía y Administración de Empresas sale del membrete de la Res. HCF 1057/2026.</t>
        </is>
      </c>
      <c r="J6" s="6" t="n">
        <v>1</v>
      </c>
      <c r="K6" s="24" t="n"/>
    </row>
    <row r="7">
      <c r="A7" s="6" t="inlineStr">
        <is>
          <t>1.2</t>
        </is>
      </c>
      <c r="B7" s="7" t="inlineStr">
        <is>
          <t>Programa/carrera</t>
        </is>
      </c>
      <c r="C7" s="8" t="inlineStr">
        <is>
          <t>Edwin Gutiérrez Zapana</t>
        </is>
      </c>
      <c r="D7" s="8" t="inlineStr">
        <is>
          <t>Alarcon Pablo Alejandro</t>
        </is>
      </c>
      <c r="E7" s="6" t="inlineStr">
        <is>
          <t>Entregado</t>
        </is>
      </c>
      <c r="F7" s="9" t="n">
        <v>46308</v>
      </c>
      <c r="G7" s="6" t="inlineStr">
        <is>
          <t>Word</t>
        </is>
      </c>
      <c r="H7" s="6" t="inlineStr">
        <is>
          <t>Sí</t>
        </is>
      </c>
      <c r="I7" s="24" t="inlineStr">
        <is>
          <t>Fuentes: Plan 2027 (1.2) y Plan 2024 (resoluciones de cambio de nombre: HCU 186/2000, HC Carrera 142/2011, HCF 613/2011 y HCU 438/2012), que en el Plan 2024 estaban dentro de 1.4. Error: en el Plan 2024 el punto 1.2 estaba vacío.</t>
        </is>
      </c>
      <c r="J7" s="6" t="n">
        <v>1</v>
      </c>
      <c r="K7" s="24" t="n"/>
    </row>
    <row r="8">
      <c r="A8" s="6" t="inlineStr">
        <is>
          <t>1.3</t>
        </is>
      </c>
      <c r="B8" s="7" t="inlineStr">
        <is>
          <t>Fecha de creación y Resolución HCU</t>
        </is>
      </c>
      <c r="C8" s="8" t="inlineStr">
        <is>
          <t>Edwin Gutiérrez Zapana</t>
        </is>
      </c>
      <c r="D8" s="8" t="inlineStr">
        <is>
          <t>Alarcon Pablo Alejandro</t>
        </is>
      </c>
      <c r="E8" s="6" t="inlineStr">
        <is>
          <t>Entregado</t>
        </is>
      </c>
      <c r="F8" s="9" t="n">
        <v>46308</v>
      </c>
      <c r="G8" s="6" t="inlineStr">
        <is>
          <t>Word</t>
        </is>
      </c>
      <c r="H8" s="6" t="inlineStr">
        <is>
          <t>Sí</t>
        </is>
      </c>
      <c r="I8" s="24" t="inlineStr">
        <is>
          <t>Fuentes: Plan 2027 (fecha de fundación 25/08/1970) y Plan 2024 (texto de la Res. HCU 057/1974). Error: el Plan 2027 presentaba la Res. HCU 057/1974 como resolución de creación de 1970 sin explicar que es de 1974; se aclaró. El Plan 2024 transcribía la resolución completa; se resumió. Si se desea el texto íntegro, va como anexo. Error en el Plan 2024: "CONTADOR GENERA" por "CONTADOR GENERAL".</t>
        </is>
      </c>
      <c r="J8" s="6" t="n">
        <v>1</v>
      </c>
      <c r="K8" s="24" t="inlineStr">
        <is>
          <t>Origen en el Congreso Interno de 1970 y contexto de la Revolución Universitaria de abril de 1970. Fuente: página de historia de la Carrera (contaduriapublica.umsa.bo/carrera). Resaltado en verde.</t>
        </is>
      </c>
    </row>
    <row r="9" ht="26.4" customHeight="1">
      <c r="A9" s="6" t="inlineStr">
        <is>
          <t>1.4</t>
        </is>
      </c>
      <c r="B9" s="7" t="inlineStr">
        <is>
          <t>Resolución(es) HCU que aprobaron planes de estudio anteriores</t>
        </is>
      </c>
      <c r="C9" s="8" t="inlineStr">
        <is>
          <t>Edwin Gutiérrez Zapana</t>
        </is>
      </c>
      <c r="D9" s="8" t="inlineStr">
        <is>
          <t>Alarcon Pablo Alejandro</t>
        </is>
      </c>
      <c r="E9" s="6" t="inlineStr">
        <is>
          <t>Entregado</t>
        </is>
      </c>
      <c r="F9" s="9" t="n">
        <v>46308</v>
      </c>
      <c r="G9" s="6" t="inlineStr">
        <is>
          <t>Word</t>
        </is>
      </c>
      <c r="H9" s="6" t="inlineStr">
        <is>
          <t>Sí</t>
        </is>
      </c>
      <c r="I9" s="24" t="inlineStr">
        <is>
          <t>Fuentes: Plan 2027 (planes 1999 y 2013) y Plan 2024 (II Congreso Interno, Res. HCU 438/2012). Errores en el Plan 2027: "Nª025/2013" y "Nª524/2004" corregidos a "N.º", y faltaba la resolución del Plan 2024. Error en el Plan 2024: el subtítulo "1.4 Organigrama funcional..." pertenece al punto 2.6 y se excluyó. Verificar por qué el Plan 1999 se aprobó recién en 2004.
CORRECCIÓN (diagnóstico 2026): el plan vigente es el Plan 2013, no el Plan 2024. Se agregaron las Resoluciones HCC 162/2012 y HCF 929/2012 del Plan 2013. CONFIRMAR qué ocurrió con el Plan 2024 (Res. HCU 233/2024): el documento del Plan 2024 y la web lo mencionan, pero el diagnóstico aprobado por la Res. HCF 1057/2026 diagnostica el Plan 2013 como vigente.</t>
        </is>
      </c>
      <c r="J9" s="6" t="n">
        <v>1</v>
      </c>
      <c r="K9" s="24" t="inlineStr">
        <is>
          <t>Plan de Estudios 2024 aprobado con Res. HCU N.º 233/2024; la fecha no se pudo confirmar. Fuente: Reglamentos Internos de la Carrera 2024 (contaduriapublica.umsa.bo/documentos/2024/07_2024). Resaltado en verde.</t>
        </is>
      </c>
    </row>
    <row r="10">
      <c r="A10" s="6" t="inlineStr">
        <is>
          <t>1.5</t>
        </is>
      </c>
      <c r="B10" s="7" t="inlineStr">
        <is>
          <t>Grado académico terminal</t>
        </is>
      </c>
      <c r="C10" s="8" t="inlineStr">
        <is>
          <t>Edwin Gutiérrez Zapana</t>
        </is>
      </c>
      <c r="D10" s="8" t="inlineStr">
        <is>
          <t>Alarcon Pablo Alejandro</t>
        </is>
      </c>
      <c r="E10" s="6" t="inlineStr">
        <is>
          <t>Entregado</t>
        </is>
      </c>
      <c r="F10" s="9" t="n">
        <v>46308</v>
      </c>
      <c r="G10" s="6" t="inlineStr">
        <is>
          <t>Word</t>
        </is>
      </c>
      <c r="H10" s="6" t="inlineStr">
        <is>
          <t>Sí</t>
        </is>
      </c>
      <c r="I10" s="24" t="inlineStr">
        <is>
          <t>Fuentes: Plan 2027 (Licenciatura) y Plan 2024 (sección 3.17.7, cinco años y modalidad de graduación). Confirmar con la subcomisión del punto 4.3.5 que la duración se mantiene en cinco años en el Plan 2027. Error en el Plan 2024: numeración 3.17.7 arrastrada de otro documento.
CORRECCIÓN (diagnóstico 2026): se confirman los cinco años y se agregan las 6.000 horas académicas del Plan 2013.</t>
        </is>
      </c>
      <c r="J10" s="6" t="n">
        <v>1</v>
      </c>
      <c r="K10" s="24" t="n"/>
    </row>
    <row r="11">
      <c r="A11" s="6" t="inlineStr">
        <is>
          <t>1.6</t>
        </is>
      </c>
      <c r="B11" s="7" t="inlineStr">
        <is>
          <t>Grado(s) académico(s) intermedio(s)</t>
        </is>
      </c>
      <c r="C11" s="8" t="inlineStr">
        <is>
          <t>Edwin Gutiérrez Zapana</t>
        </is>
      </c>
      <c r="D11" s="8" t="inlineStr">
        <is>
          <t>Alarcon Pablo Alejandro</t>
        </is>
      </c>
      <c r="E11" s="6" t="inlineStr">
        <is>
          <t>Entregado</t>
        </is>
      </c>
      <c r="F11" s="9" t="n">
        <v>46308</v>
      </c>
      <c r="G11" s="6" t="inlineStr">
        <is>
          <t>Word</t>
        </is>
      </c>
      <c r="H11" s="6" t="inlineStr">
        <is>
          <t>Sí</t>
        </is>
      </c>
      <c r="I11" s="24" t="inlineStr">
        <is>
          <t>Fuentes: Plan 2027 (Res. HCU 290/2016) y Plan 2024 (3.17.7: Técnico Medio en segundo año y Art. 4 del Reglamento General de Títulos y Grados). CONFIRMAR si el Plan 2027 mantiene el Técnico Medio (Auxiliar en Contabilidad General); el Plan 2027 no lo menciona. Denominación: el Plan 2024 dice "Técnico Superior" y la Res. HCU 290/2016 dice "Técnico Universitario Superior"; se usó la de la resolución. El texto del Plan 2024 sobre el examen de grado técnico superior (3.17.6) corresponde al punto 5.4 y se reserva para ese punto. Errores en el Plan 2027: "Grado (s) académicos intermedios (s)" y espacios dentro de los paréntesis.
CORRECCIÓN (diagnóstico 2026): se quitó la frase "El Plan de Estudios 2024 reconoce...", porque el plan vigente es el 2013. El Técnico Medio se mantiene sin atribuirlo a un plan y sigue PENDIENTE de confirmación.
CONFIRMADO por la fuente terciaria (propuesta de plan de estudios, puntos de grados intermedios): mantiene el Técnico Medio (Auxiliar en Contabilidad General) al concluir el segundo año. Esa fuente usa "Técnico Superior en Contabilidad General"; se mantiene "Técnico Universitario Superior" por la Res. HCU 290/2016. Unificar.</t>
        </is>
      </c>
      <c r="J11" s="6" t="n">
        <v>1</v>
      </c>
      <c r="K11" s="24" t="n"/>
    </row>
    <row r="12">
      <c r="A12" s="6" t="inlineStr">
        <is>
          <t>1.7</t>
        </is>
      </c>
      <c r="B12" s="7" t="inlineStr">
        <is>
          <t>Sede(s)</t>
        </is>
      </c>
      <c r="C12" s="8" t="inlineStr">
        <is>
          <t>Edwin Gutiérrez Zapana</t>
        </is>
      </c>
      <c r="D12" s="8" t="inlineStr">
        <is>
          <t>Alarcon Pablo Alejandro</t>
        </is>
      </c>
      <c r="E12" s="6" t="inlineStr">
        <is>
          <t>Entregado</t>
        </is>
      </c>
      <c r="F12" s="9" t="n">
        <v>46308</v>
      </c>
      <c r="G12" s="6" t="inlineStr">
        <is>
          <t>Word</t>
        </is>
      </c>
      <c r="H12" s="6" t="inlineStr">
        <is>
          <t>Sí</t>
        </is>
      </c>
      <c r="I12" s="24" t="inlineStr">
        <is>
          <t>Fuente: Plan 2027 (CRU Yungas-Chulumani y SUL Caranavi). Error en el Plan 2027: no mencionaba la sede central de La Paz; se agregó. Error en el Plan 2024: 1.7 vacío. Confirmar si existen otras sedes o programas desconcentrados vigentes.
CORRECCIÓN (diagnóstico 2026, puntos 3.1 y 7.1): se agregaron los edificios de la sede central (Nava Morales, Av. Montes esq. Pando, y Monoblock Central, Av. Villazón) y los 104 inscritos de las sedes desconcentradas en 2025.</t>
        </is>
      </c>
      <c r="J12" s="6" t="n">
        <v>1</v>
      </c>
      <c r="K12" s="24" t="n"/>
    </row>
    <row r="13">
      <c r="A13" s="6" t="inlineStr">
        <is>
          <t>1.8</t>
        </is>
      </c>
      <c r="B13" s="7" t="inlineStr">
        <is>
          <t>Diploma académico terminal</t>
        </is>
      </c>
      <c r="C13" s="8" t="inlineStr">
        <is>
          <t>Edwin Gutiérrez Zapana</t>
        </is>
      </c>
      <c r="D13" s="8" t="inlineStr">
        <is>
          <t>Alarcon Pablo Alejandro</t>
        </is>
      </c>
      <c r="E13" s="6" t="inlineStr">
        <is>
          <t>Entregado</t>
        </is>
      </c>
      <c r="F13" s="9" t="n">
        <v>46308</v>
      </c>
      <c r="G13" s="6" t="inlineStr">
        <is>
          <t>Word</t>
        </is>
      </c>
      <c r="H13" s="6" t="inlineStr">
        <is>
          <t>Sí</t>
        </is>
      </c>
      <c r="I13" s="24" t="inlineStr">
        <is>
          <t>Fuentes: Plan 2027 y Res. HCU 438/2012 (Plan 2024). Se quitó la mayúscula sostenida "TÍTULO ACADÉMICO: LICENCIADO...". Error en el Plan 2024: 1.8 vacío.</t>
        </is>
      </c>
      <c r="J13" s="6" t="n">
        <v>1</v>
      </c>
      <c r="K13" s="24" t="n"/>
    </row>
    <row r="14">
      <c r="A14" s="6" t="inlineStr">
        <is>
          <t>1.9</t>
        </is>
      </c>
      <c r="B14" s="7" t="inlineStr">
        <is>
          <t>Diploma(s) académico(s) intermedio(s)</t>
        </is>
      </c>
      <c r="C14" s="8" t="inlineStr">
        <is>
          <t>Edwin Gutiérrez Zapana</t>
        </is>
      </c>
      <c r="D14" s="8" t="inlineStr">
        <is>
          <t>Alarcon Pablo Alejandro</t>
        </is>
      </c>
      <c r="E14" s="6" t="inlineStr">
        <is>
          <t>Entregado</t>
        </is>
      </c>
      <c r="F14" s="9" t="n">
        <v>46308</v>
      </c>
      <c r="G14" s="6" t="inlineStr">
        <is>
          <t>Word</t>
        </is>
      </c>
      <c r="H14" s="6" t="inlineStr">
        <is>
          <t>Sí</t>
        </is>
      </c>
      <c r="I14" s="24" t="inlineStr">
        <is>
          <t>Fuentes: Plan 2027 y Res. HCU 290/2016. Error en el Plan 2027: "Diploma ( s) académico (s) intermedio". Error en el Plan 2024: 1.9 vacío.</t>
        </is>
      </c>
      <c r="J14" s="6" t="n">
        <v>1</v>
      </c>
      <c r="K14" s="24" t="n"/>
    </row>
    <row r="15">
      <c r="A15" s="6" t="inlineStr">
        <is>
          <t>1.10</t>
        </is>
      </c>
      <c r="B15" s="7" t="inlineStr">
        <is>
          <t>Título Profesional</t>
        </is>
      </c>
      <c r="C15" s="8" t="inlineStr">
        <is>
          <t>Edwin Gutiérrez Zapana</t>
        </is>
      </c>
      <c r="D15" s="8" t="inlineStr">
        <is>
          <t>Alarcon Pablo Alejandro</t>
        </is>
      </c>
      <c r="E15" s="6" t="inlineStr">
        <is>
          <t>Entregado</t>
        </is>
      </c>
      <c r="F15" s="9" t="n">
        <v>46308</v>
      </c>
      <c r="G15" s="6" t="inlineStr">
        <is>
          <t>Word</t>
        </is>
      </c>
      <c r="H15" s="6" t="inlineStr">
        <is>
          <t>Sí</t>
        </is>
      </c>
      <c r="I15" s="24" t="inlineStr">
        <is>
          <t>Fuentes: Plan 2027 y Res. HCU 438/2012. Error en el Plan 2024: 1.10 vacío.</t>
        </is>
      </c>
      <c r="J15" s="6" t="n">
        <v>1</v>
      </c>
      <c r="K15" s="24" t="n"/>
    </row>
    <row r="16">
      <c r="A16" s="6" t="inlineStr">
        <is>
          <t>1.11</t>
        </is>
      </c>
      <c r="B16" s="7" t="inlineStr">
        <is>
          <t>Título(s) profesional(es) intermedio(s)</t>
        </is>
      </c>
      <c r="C16" s="8" t="inlineStr">
        <is>
          <t>Edwin Gutiérrez Zapana</t>
        </is>
      </c>
      <c r="D16" s="8" t="inlineStr">
        <is>
          <t>Alarcon Pablo Alejandro</t>
        </is>
      </c>
      <c r="E16" s="6" t="inlineStr">
        <is>
          <t>Entregado</t>
        </is>
      </c>
      <c r="F16" s="9" t="n">
        <v>46308</v>
      </c>
      <c r="G16" s="6" t="inlineStr">
        <is>
          <t>Word</t>
        </is>
      </c>
      <c r="H16" s="6" t="inlineStr">
        <is>
          <t>Sí</t>
        </is>
      </c>
      <c r="I16" s="24" t="inlineStr">
        <is>
          <t>Fuentes: Plan 2027 y Res. HCU 290/2016. Error en el Plan 2027: "Título (s) profesional (s) intermedios". Error en el Plan 2024: 1.11 vacío.</t>
        </is>
      </c>
      <c r="J16" s="6" t="n">
        <v>1</v>
      </c>
      <c r="K16" s="24" t="n"/>
    </row>
    <row r="17">
      <c r="A17" s="6" t="inlineStr">
        <is>
          <t>1.12</t>
        </is>
      </c>
      <c r="B17" s="7" t="inlineStr">
        <is>
          <t>Modalidad(es) de docencia</t>
        </is>
      </c>
      <c r="C17" s="8" t="inlineStr">
        <is>
          <t>Edwin Gutiérrez Zapana</t>
        </is>
      </c>
      <c r="D17" s="8" t="inlineStr">
        <is>
          <t>Alarcon Pablo Alejandro</t>
        </is>
      </c>
      <c r="E17" s="6" t="inlineStr">
        <is>
          <t>Entregado</t>
        </is>
      </c>
      <c r="F17" s="9" t="n">
        <v>46308</v>
      </c>
      <c r="G17" s="6" t="inlineStr">
        <is>
          <t>Word</t>
        </is>
      </c>
      <c r="H17" s="6" t="inlineStr">
        <is>
          <t>Sí</t>
        </is>
      </c>
      <c r="I17" s="24" t="inlineStr">
        <is>
          <t>Error en el Plan 2027: respondía con las categorías docentes en lugar de la modalidad que pide el Art. 12 de la Res. HCU 032/2025; ese texto se traslada al punto 11.2. Texto nuevo respaldado por el diagnóstico 2026: modalidad presencial y régimen anual (punto 6.1), turnos diurno y nocturno (punto 3.1) y plataforma virtual de apoyo (punto 7.1 g). Ya no requiere confirmación.</t>
        </is>
      </c>
      <c r="J17" s="6" t="n">
        <v>1</v>
      </c>
      <c r="K17" s="24" t="n"/>
    </row>
    <row r="18">
      <c r="A18" s="6" t="inlineStr">
        <is>
          <t>1.13</t>
        </is>
      </c>
      <c r="B18" s="7" t="inlineStr">
        <is>
          <t>Otras características</t>
        </is>
      </c>
      <c r="C18" s="8" t="inlineStr">
        <is>
          <t>Edwin Gutiérrez Zapana</t>
        </is>
      </c>
      <c r="D18" s="8" t="inlineStr">
        <is>
          <t>Alarcon Pablo Alejandro</t>
        </is>
      </c>
      <c r="E18" s="6" t="inlineStr">
        <is>
          <t>Entregado</t>
        </is>
      </c>
      <c r="F18" s="9" t="n">
        <v>46308</v>
      </c>
      <c r="G18" s="6" t="inlineStr">
        <is>
          <t>Word</t>
        </is>
      </c>
      <c r="H18" s="6" t="inlineStr">
        <is>
          <t>Sí</t>
        </is>
      </c>
      <c r="I18" s="24" t="inlineStr">
        <is>
          <t>El Plan 2027 no tenía 1.13 y en el Plan 2024 estaba vacío. Contenido elaborado con los documentos base: acreditación Res. 09/2015 VI Conferencia Nacional Extraordinaria (membrete de la Res. HCF 1057/2026), Res. HCU 032/2025 (Arts. 5 y 16), Res. HCF 1057/2026 y documento de Misión, Visión y Perfil 2026 (Reunión Sectorial III-XIII, Res. 07/2024, IES). Error en la Res. HCF 1057/2026: en Vistos cita "Proyecto de Resolución ... N.º 269/202" (año incompleto) y en Considerando "N° 269/202"; debe ser 269/2026. Verificar la vigencia de la acreditación de 2015.
ACTUALIZADO con la fuente terciaria (Plan de Desarrollo 2026-2030): la acreditación de 2015 está por renovar; la reacreditación CEUB y ARCU-SUR son metas del plan.</t>
        </is>
      </c>
      <c r="J18" s="6" t="n">
        <v>1</v>
      </c>
      <c r="K18" s="24" t="n"/>
    </row>
    <row r="19">
      <c r="A19" s="3" t="inlineStr">
        <is>
          <t>2.</t>
        </is>
      </c>
      <c r="B19" s="4" t="inlineStr">
        <is>
          <t>Antecedentes</t>
        </is>
      </c>
      <c r="C19" s="4" t="inlineStr">
        <is>
          <t>Sin asignar</t>
        </is>
      </c>
      <c r="D19" s="4" t="inlineStr">
        <is>
          <t>Sin asignar</t>
        </is>
      </c>
      <c r="E19" s="3">
        <f>IF(SUMPRODUCT(($J$20:$J$26=1)*($E$20:$E$26&lt;&gt;"No aplica"))=0,"No aplica",IF(SUMPRODUCT(($J$20:$J$26=1)*($E$20:$E$26="Entregado"))=SUMPRODUCT(($J$20:$J$26=1)*($E$20:$E$26&lt;&gt;"No aplica")),"Completo",IF(SUMPRODUCT(($J$20:$J$26=1)*($E$20:$E$26="Pendiente"))=SUMPRODUCT(($J$20:$J$26=1)*($E$20:$E$26&lt;&gt;"No aplica")),"Pendiente","En proceso")))</f>
        <v/>
      </c>
      <c r="F19" s="3">
        <f>SUMPRODUCT(($J$20:$J$26=1)*($E$20:$E$26="Entregado"))&amp;" de "&amp;SUMPRODUCT(($J$20:$J$26=1)*($E$20:$E$26&lt;&gt;"No aplica"))</f>
        <v/>
      </c>
      <c r="G19" s="3" t="inlineStr">
        <is>
          <t>—</t>
        </is>
      </c>
      <c r="H19" s="3" t="inlineStr">
        <is>
          <t>—</t>
        </is>
      </c>
      <c r="I19" s="5" t="n"/>
      <c r="J19" s="3" t="n">
        <v>0</v>
      </c>
      <c r="K19" s="5" t="n"/>
    </row>
    <row r="20">
      <c r="A20" s="6" t="inlineStr">
        <is>
          <t>2.1</t>
        </is>
      </c>
      <c r="B20" s="7" t="inlineStr">
        <is>
          <t>Datos generales del programa/carrera</t>
        </is>
      </c>
      <c r="C20" s="8" t="inlineStr">
        <is>
          <t>Sin asignar</t>
        </is>
      </c>
      <c r="D20" s="8" t="inlineStr">
        <is>
          <t>Sin asignar</t>
        </is>
      </c>
      <c r="E20" s="6" t="inlineStr">
        <is>
          <t>Entregado</t>
        </is>
      </c>
      <c r="F20" s="9" t="n">
        <v>46308</v>
      </c>
      <c r="G20" s="6" t="inlineStr">
        <is>
          <t>Word</t>
        </is>
      </c>
      <c r="H20" s="6" t="inlineStr">
        <is>
          <t>Sí</t>
        </is>
      </c>
      <c r="I20" s="24" t="inlineStr">
        <is>
          <t>Fuentes: documento de la comisión (copia del Plan 2024), punto 1 ya trabajado, Res. HCF 1057/2026 (Director de Carrera) y diagnóstico (población estudiantil, docentes y personal). Como el párrafo de la comisión repetía el texto del punto 1.1, se reemplazó por un cuadro de datos generales para evitar duplicidad. Error en el documento de la comisión: nota interna "(COPIA DEL DOCUMENTO 2024)" dentro del texto; se eliminó. Error en el Plan 2024: el título "1. ANTECEDENTES / 1.1 DATOS GENERALES" estaba repetido dentro de 2.1 y el punto incluía los objetivos de la Carrera, que corresponden a 2.4.
CORRECCIÓN (diagnóstico 2026): plan vigente Plan 2013 (antes decía Plan 2024); se agregaron 43 asignaturas y 6.000 horas, turnos diurno y nocturno, edificios, 3.247 inscritos totales (3.143 en La Paz y 104 en sedes), composición por género, estudiantes que trabajan, 82 docentes en ejercicio y 79 ítems de auxiliares.</t>
        </is>
      </c>
      <c r="J20" s="6" t="n">
        <v>1</v>
      </c>
      <c r="K20" s="24" t="n"/>
    </row>
    <row r="21">
      <c r="A21" s="6" t="inlineStr">
        <is>
          <t>2.2</t>
        </is>
      </c>
      <c r="B21" s="7" t="inlineStr">
        <is>
          <t>Misión, visión de la carrera</t>
        </is>
      </c>
      <c r="C21" s="8" t="inlineStr">
        <is>
          <t>Sin asignar</t>
        </is>
      </c>
      <c r="D21" s="8" t="inlineStr">
        <is>
          <t>Sin asignar</t>
        </is>
      </c>
      <c r="E21" s="6" t="inlineStr">
        <is>
          <t>Entregado</t>
        </is>
      </c>
      <c r="F21" s="9" t="n">
        <v>46308</v>
      </c>
      <c r="G21" s="6" t="inlineStr">
        <is>
          <t>Word</t>
        </is>
      </c>
      <c r="H21" s="6" t="inlineStr">
        <is>
          <t>Sí</t>
        </is>
      </c>
      <c r="I21" s="24" t="inlineStr">
        <is>
          <t>Fuente priorizada: fuente terciaria, documento 1 (visión y misión), igual al documento base Misión, Visión y Perfil 2026. Se agregó 2.2.3 Valores, tomado del mismo documento base, para mantener la coherencia. La visión y la misión se conservaron textuales por ser texto socializado; solo en Valores se cambió el paréntesis "(IA, Big Data y automatización)" por redacción corrida. El paréntesis "(IA y analítica de datos)" de la misión se mantiene; si se desea quitarlo, debe hacerse también en el documento base. Error en el documento de la comisión: nota interna "(copia del documento recién socializado)" en el título. El Plan 2024 tenía otra visión y misión, ya reemplazadas.</t>
        </is>
      </c>
      <c r="J21" s="6" t="n">
        <v>1</v>
      </c>
      <c r="K21" s="24" t="n"/>
    </row>
    <row r="22">
      <c r="A22" s="6" t="inlineStr">
        <is>
          <t>2.3</t>
        </is>
      </c>
      <c r="B22" s="7" t="inlineStr">
        <is>
          <t>Plan de desarrollo de la carrera</t>
        </is>
      </c>
      <c r="C22" s="8" t="inlineStr">
        <is>
          <t>Sin asignar</t>
        </is>
      </c>
      <c r="D22" s="8" t="inlineStr">
        <is>
          <t>Sin asignar</t>
        </is>
      </c>
      <c r="E22" s="6" t="inlineStr">
        <is>
          <t>Entregado</t>
        </is>
      </c>
      <c r="F22" s="9" t="n">
        <v>46308</v>
      </c>
      <c r="G22" s="6" t="inlineStr">
        <is>
          <t>Word</t>
        </is>
      </c>
      <c r="H22" s="6" t="inlineStr">
        <is>
          <t>Sí</t>
        </is>
      </c>
      <c r="I22" s="24" t="inlineStr">
        <is>
          <t>Fuente: fuente terciaria (Plan Estratégico de Desarrollo Institucional 2026-2030 de la Carrera), reescrita y resumida. Se quitaron los rasgos de redacción de IA (guiones largos, paréntesis, términos como "refundación", "baluarte" o "arquitectura programática"); la visión, la misión y los valores no se repitieron porque ya están en 2.2. Se armonizaron los cuatro ejes del plan con las cuatro áreas del PEI UMSA y con los seis ejes de los objetivos (2.4). ERRORES EN LA FUENTE: (1) atribuye al Art. 8 de la Res. HCU 032/2025 el "modelo humanista, flexible... por competencias", pero el Art. 8 trata la estructura de contenidos; se citó el Art. 12; (2) presenta como "brecha en inglés del 89 %" un dato que el diagnóstico registra como el 89 % de estudiantes que ve la demanda de idiomas y tecnología como amenaza; se corrigió; (3) líneas base sin respaldo, derivadas de otros porcentajes: inglés "11 %" (100 - 89), laboratorios "7 %" (100 - 93, que es una brecha de egresados, no de laboratorios), pasantías "12 %" y docentes capacitados "15 %" sin fuente; se reemplazaron por "Por establecer"; (4) unidades responsables que no existen en el organigrama (Jefatura de Estudios, Departamento de Idiomas, Unidad de Calidad Académica, Jefatura de Laboratorios); se asignaron a la Dirección de Carrera; (5) el nombre del plan es inconsistente: "Plan de Estudios CPA 2026" en la fuente y "Plan 2027" en otros documentos; (6) cita "ISSA 5000"; en español corresponde NIAS 5000.</t>
        </is>
      </c>
      <c r="J22" s="6" t="n">
        <v>1</v>
      </c>
      <c r="K22" s="24" t="inlineStr">
        <is>
          <t>PEI UMSA 2021-2025 con visión al 2030, Res. HCU 355/2023 (se mantiene en verde).</t>
        </is>
      </c>
    </row>
    <row r="23">
      <c r="A23" s="6" t="inlineStr">
        <is>
          <t>2.4</t>
        </is>
      </c>
      <c r="B23" s="7" t="inlineStr">
        <is>
          <t>Objetivos del programa/carrera</t>
        </is>
      </c>
      <c r="C23" s="8" t="inlineStr">
        <is>
          <t>Sin asignar</t>
        </is>
      </c>
      <c r="D23" s="8" t="inlineStr">
        <is>
          <t>Sin asignar</t>
        </is>
      </c>
      <c r="E23" s="6" t="inlineStr">
        <is>
          <t>Entregado</t>
        </is>
      </c>
      <c r="F23" s="9" t="n">
        <v>46308</v>
      </c>
      <c r="G23" s="6" t="inlineStr">
        <is>
          <t>Word</t>
        </is>
      </c>
      <c r="H23" s="6" t="inlineStr">
        <is>
          <t>Sí</t>
        </is>
      </c>
      <c r="I23" s="24" t="inlineStr">
        <is>
          <t>Fuente priorizada: fuente terciaria, documento 2 (2.4.1, seis ejes), que es la versión más reciente: incluye "Código Internacional de Ética", "pasantías preprofesionales obligatorias" y "la incertidumbre". Cambios: "analítica de datos (Big Data)" se redactó "analítica de datos masivos", se completó el nombre del IESBA (Consejo de Normas Internacionales de Ética para Contadores) y se pasaron los rótulos a minúscula inicial. Error en el documento 2 de la fuente terciaria: las seis viñetas estaban dentro de un solo ítem; se separaron como incisos a-f. DIFERENCIA con el documento base Misión, Visión y Perfil 2026 (punto 3) y con el documento 1 de la fuente terciaria: estos dicen "pre-profesionales" sin "obligatorias" y "Código de Ética"; conviene actualizar el documento base para que coincida. Error en el documento 1 de la fuente terciaria: "pasantías pre-profesionales" con guion.</t>
        </is>
      </c>
      <c r="J23" s="6" t="n">
        <v>1</v>
      </c>
      <c r="K23" s="24" t="n"/>
    </row>
    <row r="24">
      <c r="A24" s="6" t="inlineStr">
        <is>
          <t>2.5</t>
        </is>
      </c>
      <c r="B24" s="7" t="inlineStr">
        <is>
          <t>Características del programa/carrera</t>
        </is>
      </c>
      <c r="C24" s="8" t="inlineStr">
        <is>
          <t>Sin asignar</t>
        </is>
      </c>
      <c r="D24" s="8" t="inlineStr">
        <is>
          <t>Sin asignar</t>
        </is>
      </c>
      <c r="E24" s="6" t="inlineStr">
        <is>
          <t>Entregado</t>
        </is>
      </c>
      <c r="F24" s="9" t="n">
        <v>46308</v>
      </c>
      <c r="G24" s="6" t="inlineStr">
        <is>
          <t>Word</t>
        </is>
      </c>
      <c r="H24" s="6" t="inlineStr">
        <is>
          <t>Sí</t>
        </is>
      </c>
      <c r="I24" s="24" t="inlineStr">
        <is>
          <t>Fuente: Plan 2024 (1.3 Reseña histórica y 1.5 Unidades académicas); la comisión no incluyó este punto. Correcciones al Plan 2024: "culmino" por "culminó"; oración incompleta "El nuevo rol protagónico... que culmino con el golpe de estado", reescrita; "Carrera de Contaduría Auditoria ahora Contaduría Pública" corregido; frase colgante "Razón por la cual se dicta la siguiente resolución:" sin resolución, reemplazada por la remisión al punto 1.2; tildes faltantes en Auditoría y Maestría; título "2. Justificación del Diseño" fuera de lugar, eliminado. ACTUALIZAR las versiones de los programas de postgrado (datos del Plan 2024) y el estado del doctorado. La lista de reglamentos del Plan 2024 se traslada al punto 13.1.
CORRECCIÓN (diagnóstico 2026, puntos 9.1 y 10): se reemplazó la lista de postgrado del Plan 2024, que tenía versiones desactualizadas, por los programas vigentes y los que se implementan en 2026; nombre completo del doctorado; datos del Instituto (320 h/mes, Director acéfalo desde 2022, sin personal administrativo). Error en el diagnóstico: "Diplomado en Auditoría Forense Virtual" se redactó "en modalidad virtual"; "esta de cargo" debe ser "está a cargo".</t>
        </is>
      </c>
      <c r="J24" s="6" t="n">
        <v>1</v>
      </c>
      <c r="K24" s="24" t="n"/>
    </row>
    <row r="25">
      <c r="A25" s="6" t="inlineStr">
        <is>
          <t>2.6</t>
        </is>
      </c>
      <c r="B25" s="7" t="inlineStr">
        <is>
          <t>Organigrama del programa/carrera</t>
        </is>
      </c>
      <c r="C25" s="8" t="inlineStr">
        <is>
          <t>Sin asignar</t>
        </is>
      </c>
      <c r="D25" s="8" t="inlineStr">
        <is>
          <t>Sin asignar</t>
        </is>
      </c>
      <c r="E25" s="6" t="inlineStr">
        <is>
          <t>Entregado</t>
        </is>
      </c>
      <c r="F25" s="9" t="n">
        <v>46308</v>
      </c>
      <c r="G25" s="6" t="inlineStr">
        <is>
          <t>Word</t>
        </is>
      </c>
      <c r="H25" s="6" t="inlineStr">
        <is>
          <t>Sí</t>
        </is>
      </c>
      <c r="I25" s="24" t="inlineStr">
        <is>
          <t>Fuentes: organigrama (imagen) y descripción del documento de la comisión, igual al Plan 2024, y 2.6.1 Plantel administrativo del diagnóstico. Redacción ajustada y sin repeticiones. ERRORES EN LA IMAGEN DEL ORGANIGRAMA (no se pueden corregir en el Word, hay que rehacer la imagen): "KARDIXTA" por "KARDEXISTA", "TRANCRIPTOR" por "TRANSCRIPTOR"; dice "JEFATURA DE CARRERA" mientras el texto dice "Dirección de Carrera"; muestra la Unidad de Postgrado al mismo nivel que el Instituto, mientras el texto dice que depende del Instituto. Incoherencia: el texto del Plan 2024 sobre la Jefatura de Dirección hablaba de "dos secretarias, un profesional contable...", que no coincide con las tablas de personal; se redactó sin cantidades. En las tablas: "Kardixtas I" corregido a "Kardexista I", "Centro de Computo" a "Cómputo", "(item)" a "ítem", y se unificaron las filas repetidas de porteros y becarios. Nombre del Instituto unificado según la Res. HCU 457/2004.
CORRECCIÓN POSTERIOR: la sigla PETAEG del diagnóstico se unificó a PETAENG (Plan Excepcional de Titulación para Antiguos Estudiantes No Graduados), como en la comisión y el Plan 2024.</t>
        </is>
      </c>
      <c r="J25" s="6" t="n">
        <v>1</v>
      </c>
      <c r="K25" s="24" t="n"/>
    </row>
    <row r="26">
      <c r="A26" s="6" t="inlineStr">
        <is>
          <t>2.7</t>
        </is>
      </c>
      <c r="B26" s="7" t="inlineStr">
        <is>
          <t>Estadísticas del programa/carrera</t>
        </is>
      </c>
      <c r="C26" s="8" t="inlineStr">
        <is>
          <t>Sin asignar</t>
        </is>
      </c>
      <c r="D26" s="8" t="inlineStr">
        <is>
          <t>Sin asignar</t>
        </is>
      </c>
      <c r="E26" s="6" t="inlineStr">
        <is>
          <t>Entregado</t>
        </is>
      </c>
      <c r="F26" s="9" t="n">
        <v>46308</v>
      </c>
      <c r="G26" s="6" t="inlineStr">
        <is>
          <t>Word</t>
        </is>
      </c>
      <c r="H26" s="6" t="inlineStr">
        <is>
          <t>Sí</t>
        </is>
      </c>
      <c r="I26" s="24" t="inlineStr">
        <is>
          <t>Fuente: estadísticas del diagnóstico 2021-2025 (documento de la comisión), que reemplazan a las del Plan 2024. ERRORES CORREGIDOS: (1) se decía que los inscritos "se incrementaron en 378 equivalentes al 13,32 %", dato copiado del Plan 2024 (periodo 2019-2023); con los datos 2021-2025 bajan de 3.152 a 3.143 (-0,29 %); (2) 1.140/4.283 = 26,62 %, no 26,61 %; (3) en el Cuadro 11 la fila Paralelos repetía el promedio en las columnas PEIPAP; se reorganizó el cuadro; (4) el texto del Cuadro 11 decía "relativamente estable" y a la vez "se ha incrementado significativamente"; se aclaró que crece el total de inscripciones y no el promedio; (5) la fuente "Sistema de Registro Universitario -- SSA y Sistema de Seguimiento Académico - SSA" repetía la sigla. Se calculó y agregó que el examen de grado representa el 69,7 % de los titulados 2021-2025. INCOHERENCIAS POR ACLARAR con la comisión: (a) el Cuadro 5 da 82 docentes y los Cuadros 4 y 7 dan 183; se interpretó 183 como designaciones y no personas; la nota "El total de docentes corresponde a materias de 32 Hrs" no es clara y se omitió; (b) matriculados 2023: el diagnóstico dice 4.447 y el Plan 2024 dice 4.385; (c) titulados 2021: DSIE da 441 y Kárdex (Plan 2024) daba 514; (d) CEIPAP 2023: 22.636 frente a 22.641 en el Plan 2024. Se renumeraron los cuadros del 1 al 11 dentro del punto 2.
CORRECCIÓN (diagnóstico 2026, puntos 3.1, 3.2, 3.3 y 11): se agregaron los inscritos totales, la composición por género, los estudiantes trabajadores, los nuevos inscritos 2023-2025, los estudiantes con 7 a 9 años de permanencia y las auxiliaturas. El diagnóstico tiene los mismos errores de los Cuadros 9 a 11 señalados arriba: "se incrementaron en 378, 13,32 %", 26,61 % y la fuente con la sigla SSA repetida. Además, en el punto 6.4 d) habla de "183 docentes disponibles" y en el Cuadro 6 de 82 docentes.</t>
        </is>
      </c>
      <c r="J26" s="6" t="n">
        <v>1</v>
      </c>
      <c r="K26" s="24" t="n"/>
    </row>
    <row r="27" ht="25.2" customHeight="1">
      <c r="A27" s="3" t="inlineStr">
        <is>
          <t>3.</t>
        </is>
      </c>
      <c r="B27" s="4" t="inlineStr">
        <is>
          <t>Justificación de la innovación curricular (solo para niveles de diseño, rediseño y ajustes)</t>
        </is>
      </c>
      <c r="C27" s="4" t="inlineStr">
        <is>
          <t>Alberto Mendoza Mendoza</t>
        </is>
      </c>
      <c r="D27" s="4" t="inlineStr">
        <is>
          <t>Ayrton Javier Quisbert Fernandez</t>
        </is>
      </c>
      <c r="E27" s="3">
        <f>IF(SUMPRODUCT(($J$28:$J$32=1)*($E$28:$E$32&lt;&gt;"No aplica"))=0,"No aplica",IF(SUMPRODUCT(($J$28:$J$32=1)*($E$28:$E$32="Entregado"))=SUMPRODUCT(($J$28:$J$32=1)*($E$28:$E$32&lt;&gt;"No aplica")),"Completo",IF(SUMPRODUCT(($J$28:$J$32=1)*($E$28:$E$32="Pendiente"))=SUMPRODUCT(($J$28:$J$32=1)*($E$28:$E$32&lt;&gt;"No aplica")),"Pendiente","En proceso")))</f>
        <v/>
      </c>
      <c r="F27" s="3">
        <f>SUMPRODUCT(($J$28:$J$32=1)*($E$28:$E$32="Entregado"))&amp;" de "&amp;SUMPRODUCT(($J$28:$J$32=1)*($E$28:$E$32&lt;&gt;"No aplica"))</f>
        <v/>
      </c>
      <c r="G27" s="3" t="inlineStr">
        <is>
          <t>—</t>
        </is>
      </c>
      <c r="H27" s="3" t="inlineStr">
        <is>
          <t>—</t>
        </is>
      </c>
      <c r="I27" s="5" t="n"/>
      <c r="J27" s="3" t="n">
        <v>0</v>
      </c>
      <c r="K27" s="5" t="n"/>
    </row>
    <row r="28" ht="26.4" customHeight="1">
      <c r="A28" s="6" t="inlineStr">
        <is>
          <t>3.1</t>
        </is>
      </c>
      <c r="B28" s="7" t="inlineStr">
        <is>
          <t>Análisis de resultados obtenidos con anteriores planes de estudio (descripción estadística y cualitativa)</t>
        </is>
      </c>
      <c r="C28" s="8" t="inlineStr">
        <is>
          <t>Alberto Mendoza Mendoza</t>
        </is>
      </c>
      <c r="D28" s="8" t="inlineStr">
        <is>
          <t>Ayrton Javier Quisbert Fernandez</t>
        </is>
      </c>
      <c r="E28" s="6" t="inlineStr">
        <is>
          <t>Entregado</t>
        </is>
      </c>
      <c r="F28" s="9" t="n">
        <v>46308</v>
      </c>
      <c r="G28" s="6" t="inlineStr">
        <is>
          <t>Word</t>
        </is>
      </c>
      <c r="H28" s="6" t="inlineStr">
        <is>
          <t>Sí</t>
        </is>
      </c>
      <c r="I28" s="24" t="inlineStr">
        <is>
          <t>Fuente principal: documento de la comisión (3.1), con el Plan 2024 y el diagnóstico 2026 como respaldo. ACTUALIZACIÓN: la comisión usaba series 2018-2023 (Centro de Cómputo y Kárdex) y pedía actualizarlas; se reemplazaron por las del diagnóstico 2026: matrícula 2021-2025, titulados 2021-2025 DSIE (examen de grado 69,73 %, trabajo dirigido 14,58 %, tesis 0,16 %), dedicación docente 2026 (2 cargas de tiempo completo de 108, 58,33 % con carga mínima), interinos en Atestación 73,33 % y 106 estudiantes por paralelo en 2026. Se quitó la afirmación "concentración creciente en el examen", porque con los datos 2021-2025 el examen baja de 78,2 % a 68,6 %. Se mantuvo la observación técnica de la comisión sobre los porcentajes erróneos del Cuadro 4 del Documento 2013. Error de la comisión: el Cuadro 2 decía "Desarrollo y Comportamiento Organizacional"; el diagnóstico dice "Desarrollo Organizacional y Comportamiento Organizacional". "Álgebra y Programación Lineales" se corrigió a "Lineal". Del diagnóstico quedan pendientes los errores anotados antes (caída de matrícula con tres cifras distintas, entre otros); no se usaron esas cifras.</t>
        </is>
      </c>
      <c r="J28" s="6" t="n">
        <v>1</v>
      </c>
      <c r="K28" s="24" t="n"/>
    </row>
    <row r="29" ht="26.4" customHeight="1">
      <c r="A29" s="6" t="inlineStr">
        <is>
          <t>3.2</t>
        </is>
      </c>
      <c r="B29" s="7" t="inlineStr">
        <is>
          <t>Análisis de las políticas y normas (internacionales, nacionales y universitarias)</t>
        </is>
      </c>
      <c r="C29" s="8" t="inlineStr">
        <is>
          <t>Alberto Mendoza Mendoza</t>
        </is>
      </c>
      <c r="D29" s="8" t="inlineStr">
        <is>
          <t>Ayrton Javier Quisbert Fernandez</t>
        </is>
      </c>
      <c r="E29" s="6" t="inlineStr">
        <is>
          <t>Entregado</t>
        </is>
      </c>
      <c r="F29" s="9" t="n">
        <v>46308</v>
      </c>
      <c r="G29" s="6" t="inlineStr">
        <is>
          <t>Word</t>
        </is>
      </c>
      <c r="H29" s="6" t="inlineStr">
        <is>
          <t>Sí</t>
        </is>
      </c>
      <c r="I29" s="24" t="inlineStr">
        <is>
          <t>Fuentes: comisión (3.2, completo) y fuente terciaria (3.2.1: procedimiento con las Res. HCF 1057/2026 y 1126/2026). INCOHERENCIA: la fuente terciaria dice que la Asamblea se realizó el 8/09/2026, pero la Res. HCF 1057/2026 la convoca para el 4/09/2026; se dejó la fecha de la resolución. VERIFICAR el número y la fecha de la Res. HCF 1126/2026 (solo figura en la fuente terciaria). Terminología unificada: la comisión usa "NIE" y la fuente terciaria "IES"; se usa IES en todo el documento. ISSA 5000 se nombra "NIAS 5000" en español (la comisión decía NIEA 5000). Se eliminó el Cuadro 16 de la comisión (NIE e implicancia), porque se fusionó con la tabla de la fuente terciaria en el Cuadro 30 (3.5.4).</t>
        </is>
      </c>
      <c r="J29" s="6" t="n">
        <v>1</v>
      </c>
      <c r="K29" s="24" t="n"/>
    </row>
    <row r="30" ht="26.4" customHeight="1">
      <c r="A30" s="6" t="inlineStr">
        <is>
          <t>3.3</t>
        </is>
      </c>
      <c r="B30" s="7" t="inlineStr">
        <is>
          <t>Análisis del contexto económico, estudio de mercado laboral e inserción laboral</t>
        </is>
      </c>
      <c r="C30" s="8" t="inlineStr">
        <is>
          <t>Alberto Mendoza Mendoza</t>
        </is>
      </c>
      <c r="D30" s="8" t="inlineStr">
        <is>
          <t>Ayrton Javier Quisbert Fernandez</t>
        </is>
      </c>
      <c r="E30" s="6" t="inlineStr">
        <is>
          <t>Entregado</t>
        </is>
      </c>
      <c r="F30" s="9" t="n">
        <v>46308</v>
      </c>
      <c r="G30" s="6" t="inlineStr">
        <is>
          <t>Word</t>
        </is>
      </c>
      <c r="H30" s="6" t="inlineStr">
        <is>
          <t>Sí</t>
        </is>
      </c>
      <c r="I30" s="24" t="inlineStr">
        <is>
          <t>Fuente: comisión (3.3) y verificación directa en el informe Ipsos CIESMORI. CIFRAS VERIFICADAS EN IPSOS (láminas 18, 19, 38 y 39): Contaduría tiene 52 % dependientes, 31 % independientes o consultores y 14 % desempleados; el 41 % que usan el documento de Misión, Visión y Perfil, el diagnóstico y el Plan de Desarrollo corresponde a Economía. La "brecha del 93 %" de esos documentos es en realidad el porcentaje de egresados que considera "totalmente necesarias" las habilidades tecnológicas básicas; la brecha real es de 43 pp (98 % necesaria frente a 55 % aplicada) y de 51 pp en emergentes. Lo mismo ocurre con "gestión del tiempo 81 %" y "pensamiento crítico 78 %", que son valores de "totalmente necesaria"; las brechas son de 35 y 25 pp. Se corrigió también el punto 2.3. PENDIENTE: la propia comisión pide contrastar con los documentos originales las cifras macroeconómicas de 2026 (FMI, Banco Mundial, INE, BCB), que tomó de la prensa.</t>
        </is>
      </c>
      <c r="J30" s="6" t="n">
        <v>1</v>
      </c>
      <c r="K30" s="24" t="n"/>
    </row>
    <row r="31" ht="26.4" customHeight="1">
      <c r="A31" s="6" t="inlineStr">
        <is>
          <t>3.4</t>
        </is>
      </c>
      <c r="B31" s="7" t="inlineStr">
        <is>
          <t>Análisis del contexto de cambios y tendencias de la ciencia y tecnología a nivel global</t>
        </is>
      </c>
      <c r="C31" s="8" t="inlineStr">
        <is>
          <t>Humberto Quintanilla Muñoz</t>
        </is>
      </c>
      <c r="D31" s="8" t="inlineStr">
        <is>
          <t>Beymar Adalid Paucara Marquez</t>
        </is>
      </c>
      <c r="E31" s="6" t="inlineStr">
        <is>
          <t>Entregado</t>
        </is>
      </c>
      <c r="F31" s="9" t="n">
        <v>46308</v>
      </c>
      <c r="G31" s="6" t="inlineStr">
        <is>
          <t>Word</t>
        </is>
      </c>
      <c r="H31" s="6" t="inlineStr">
        <is>
          <t>Sí</t>
        </is>
      </c>
      <c r="I31" s="24" t="inlineStr">
        <is>
          <t>Fuente: comisión (3.4). Solo cambió la redacción: se quitaron guiones largos y negritas excesivas, y los términos en inglés se tradujeron cuando hay equivalente (RPA: automatización robótica de procesos; ERP: sistemas de gestión empresarial).</t>
        </is>
      </c>
      <c r="J31" s="6" t="n">
        <v>1</v>
      </c>
      <c r="K31" s="24" t="n"/>
    </row>
    <row r="32" ht="26.4" customHeight="1">
      <c r="A32" s="6" t="inlineStr">
        <is>
          <t>3.5</t>
        </is>
      </c>
      <c r="B32" s="7" t="inlineStr">
        <is>
          <t>Contextualización de la oferta curricular en la realidad nacional e internacional</t>
        </is>
      </c>
      <c r="C32" s="8" t="inlineStr">
        <is>
          <t>Humberto Quintanilla Muñoz</t>
        </is>
      </c>
      <c r="D32" s="8" t="inlineStr">
        <is>
          <t>Beymar Adalid Paucara Marquez</t>
        </is>
      </c>
      <c r="E32" s="6" t="inlineStr">
        <is>
          <t>Entregado</t>
        </is>
      </c>
      <c r="F32" s="9" t="n">
        <v>46308</v>
      </c>
      <c r="G32" s="6" t="inlineStr">
        <is>
          <t>Word</t>
        </is>
      </c>
      <c r="H32" s="6" t="inlineStr">
        <is>
          <t>Sí</t>
        </is>
      </c>
      <c r="I32" s="24" t="inlineStr">
        <is>
          <t>Fuentes: comisión (3.5) y fuente terciaria (3.5.1, tabla IES 1 a IES 8, fusionada en el Cuadro 30). ERROR GRAVE DE LA COMISIÓN CORREGIDO: afirmaba que la UMSA otorga el título de "Auditor Financiero" y que es la única del SUB que no otorga el de Contador Público Autorizado. Desde la Res. HCU 438/2012 el título en provisión nacional es Contador Público Autorizado (punto 1.10). Se corrigieron los Cuadros 17, 29 y 31 y el texto: lo desalineado es el perfil de egreso, no el título. Error de la comisión: en el Cuadro 31, "Salidas intermedias: Ausentes" en el Plan 2013; existe el Técnico Universitario Superior (Res. HCU 290/2016). Se agregó el dato del rango de horas SUB (4.500 a 6.000) del diagnóstico. Se trasladaron al punto 11 (implementación) y al 16.2 los Cuadros 33 a 35 de la comisión (paralelos requeridos, fases de implementación y riesgos), y se omitió el Cuadro 36 (verificación de cumplimiento del Art. 12), que es control interno. La comisión numeraba "3.6" la síntesis; el índice no tiene 3.6, así que pasó a 3.5.5.</t>
        </is>
      </c>
      <c r="J32" s="6" t="n">
        <v>1</v>
      </c>
      <c r="K32" s="24" t="n"/>
    </row>
    <row r="33">
      <c r="A33" s="3" t="inlineStr">
        <is>
          <t>4.</t>
        </is>
      </c>
      <c r="B33" s="4" t="inlineStr">
        <is>
          <t>Aspectos académicos</t>
        </is>
      </c>
      <c r="C33" s="4" t="inlineStr">
        <is>
          <t>Freddy Huanca Mamani</t>
        </is>
      </c>
      <c r="D33" s="4" t="inlineStr">
        <is>
          <t>Katherin Fabiola Ali Quispe</t>
        </is>
      </c>
      <c r="E33" s="3">
        <f>IF(SUMPRODUCT(($J$34:$J$71=1)*($E$34:$E$71&lt;&gt;"No aplica"))=0,"No aplica",IF(SUMPRODUCT(($J$34:$J$71=1)*($E$34:$E$71="Entregado"))=SUMPRODUCT(($J$34:$J$71=1)*($E$34:$E$71&lt;&gt;"No aplica")),"Completo",IF(SUMPRODUCT(($J$34:$J$71=1)*($E$34:$E$71="Pendiente"))=SUMPRODUCT(($J$34:$J$71=1)*($E$34:$E$71&lt;&gt;"No aplica")),"Pendiente","En proceso")))</f>
        <v/>
      </c>
      <c r="F33" s="3">
        <f>SUMPRODUCT(($J$34:$J$71=1)*($E$34:$E$71="Entregado"))&amp;" de "&amp;SUMPRODUCT(($J$34:$J$71=1)*($E$34:$E$71&lt;&gt;"No aplica"))</f>
        <v/>
      </c>
      <c r="G33" s="3" t="inlineStr">
        <is>
          <t>—</t>
        </is>
      </c>
      <c r="H33" s="3" t="inlineStr">
        <is>
          <t>—</t>
        </is>
      </c>
      <c r="I33" s="5" t="n"/>
      <c r="J33" s="3" t="n">
        <v>0</v>
      </c>
      <c r="K33" s="5" t="n"/>
    </row>
    <row r="34">
      <c r="A34" s="11" t="inlineStr">
        <is>
          <t>4.1</t>
        </is>
      </c>
      <c r="B34" s="12" t="inlineStr">
        <is>
          <t>Fundamentos curriculares</t>
        </is>
      </c>
      <c r="C34" s="13" t="inlineStr">
        <is>
          <t>Freddy Huanca Mamani</t>
        </is>
      </c>
      <c r="D34" s="13" t="inlineStr">
        <is>
          <t>Katherin Fabiola Ali Quispe</t>
        </is>
      </c>
      <c r="E34" s="11">
        <f>IF(SUMPRODUCT(($J$35:$J$39=1)*($E$35:$E$39&lt;&gt;"No aplica"))=0,"No aplica",IF(SUMPRODUCT(($J$35:$J$39=1)*($E$35:$E$39="Entregado"))=SUMPRODUCT(($J$35:$J$39=1)*($E$35:$E$39&lt;&gt;"No aplica")),"Completo",IF(SUMPRODUCT(($J$35:$J$39=1)*($E$35:$E$39="Pendiente"))=SUMPRODUCT(($J$35:$J$39=1)*($E$35:$E$39&lt;&gt;"No aplica")),"Pendiente","En proceso")))</f>
        <v/>
      </c>
      <c r="F34" s="11">
        <f>SUMPRODUCT(($J$35:$J$39=1)*($E$35:$E$39="Entregado"))&amp;" de "&amp;SUMPRODUCT(($J$35:$J$39=1)*($E$35:$E$39&lt;&gt;"No aplica"))</f>
        <v/>
      </c>
      <c r="G34" s="11" t="inlineStr">
        <is>
          <t>—</t>
        </is>
      </c>
      <c r="H34" s="11" t="inlineStr">
        <is>
          <t>—</t>
        </is>
      </c>
      <c r="I34" s="14" t="n"/>
      <c r="J34" s="11" t="n">
        <v>0</v>
      </c>
      <c r="K34" s="14" t="n"/>
    </row>
    <row r="35">
      <c r="A35" s="6" t="inlineStr">
        <is>
          <t>4.1.1</t>
        </is>
      </c>
      <c r="B35" s="7" t="inlineStr">
        <is>
          <t>Fundamentos epistemológicos</t>
        </is>
      </c>
      <c r="C35" s="8" t="inlineStr">
        <is>
          <t>Freddy Huanca Mamani</t>
        </is>
      </c>
      <c r="D35" s="8" t="inlineStr">
        <is>
          <t>Katherin Fabiola Ali Quispe</t>
        </is>
      </c>
      <c r="E35" s="6" t="inlineStr">
        <is>
          <t>Entregado</t>
        </is>
      </c>
      <c r="F35" s="9" t="n">
        <v>46308</v>
      </c>
      <c r="G35" s="6" t="inlineStr">
        <is>
          <t>Word</t>
        </is>
      </c>
      <c r="H35" s="6" t="inlineStr">
        <is>
          <t>Sí</t>
        </is>
      </c>
      <c r="I35" s="24" t="inlineStr">
        <is>
          <t>Fuente: fuente terciaria (Partes Complementarias y 4.1). Se agregó la ampliación epistemológica del objeto (sostenibilidad), tomada del punto 3.4 de la comisión. Error en la fuente: "entorno organización dinámico" por "organizacional".</t>
        </is>
      </c>
      <c r="J35" s="6" t="n">
        <v>1</v>
      </c>
      <c r="K35" s="24" t="n"/>
    </row>
    <row r="36">
      <c r="A36" s="6" t="inlineStr">
        <is>
          <t>4.1.2</t>
        </is>
      </c>
      <c r="B36" s="7" t="inlineStr">
        <is>
          <t>Fundamentos sociológicos antropológicos</t>
        </is>
      </c>
      <c r="C36" s="8" t="inlineStr">
        <is>
          <t>Freddy Huanca Mamani</t>
        </is>
      </c>
      <c r="D36" s="8" t="inlineStr">
        <is>
          <t>Katherin Fabiola Ali Quispe</t>
        </is>
      </c>
      <c r="E36" s="6" t="inlineStr">
        <is>
          <t>Entregado</t>
        </is>
      </c>
      <c r="F36" s="9" t="n">
        <v>46308</v>
      </c>
      <c r="G36" s="6" t="inlineStr">
        <is>
          <t>Word</t>
        </is>
      </c>
      <c r="H36" s="6" t="inlineStr">
        <is>
          <t>Sí</t>
        </is>
      </c>
      <c r="I36" s="24" t="inlineStr">
        <is>
          <t>Fuente: fuente terciaria, con las cifras corregidas: "brecha del 93 %" por 43 y 51 pp (ver 3.3); "la principal barrera (25 %)" por "la segunda barrera" (la primera son las habilidades blandas, 26 %); y "el 88 % exige pasantías e inglés" se separó: 88 % pasantías y 89 % ven como amenaza la demanda de idiomas y tecnología. Se agregó el contexto sociocultural (modelo económico plural, informalidad, estudiante trabajador, 56 % mujeres) del diagnóstico y del punto 3.</t>
        </is>
      </c>
      <c r="J36" s="6" t="n">
        <v>1</v>
      </c>
      <c r="K36" s="24" t="n"/>
    </row>
    <row r="37">
      <c r="A37" s="6" t="inlineStr">
        <is>
          <t>4.1.3</t>
        </is>
      </c>
      <c r="B37" s="7" t="inlineStr">
        <is>
          <t>Fundamentos psicológicos</t>
        </is>
      </c>
      <c r="C37" s="8" t="inlineStr">
        <is>
          <t>Jorge Cespedes Esteves</t>
        </is>
      </c>
      <c r="D37" s="8" t="inlineStr">
        <is>
          <t>Taiz Alejandra Cano Chuyma</t>
        </is>
      </c>
      <c r="E37" s="6" t="inlineStr">
        <is>
          <t>Entregado</t>
        </is>
      </c>
      <c r="F37" s="9" t="n">
        <v>46308</v>
      </c>
      <c r="G37" s="6" t="inlineStr">
        <is>
          <t>Word</t>
        </is>
      </c>
      <c r="H37" s="6" t="inlineStr">
        <is>
          <t>Sí</t>
        </is>
      </c>
      <c r="I37" s="24" t="inlineStr">
        <is>
          <t>Fuentes: fuente terciaria (roles del docente y del estudiante) y Plan 2024 (pedagogía dialogante constructivista, resumida). La fuente terciaria ponía como "fundamentos psicológicos" solo el marco normativo y los roles, sin fundamento psicológico; se agregó el enfoque constructivista y el aprendizaje significativo del Plan 2024.</t>
        </is>
      </c>
      <c r="J37" s="6" t="n">
        <v>1</v>
      </c>
      <c r="K37" s="24" t="n"/>
    </row>
    <row r="38">
      <c r="A38" s="6" t="inlineStr">
        <is>
          <t>4.1.4</t>
        </is>
      </c>
      <c r="B38" s="7" t="inlineStr">
        <is>
          <t>Fundamentos educativos</t>
        </is>
      </c>
      <c r="C38" s="8" t="inlineStr">
        <is>
          <t>Jorge Cespedes Esteves</t>
        </is>
      </c>
      <c r="D38" s="8" t="inlineStr">
        <is>
          <t>Taiz Alejandra Cano Chuyma</t>
        </is>
      </c>
      <c r="E38" s="6" t="inlineStr">
        <is>
          <t>Entregado</t>
        </is>
      </c>
      <c r="F38" s="9" t="n">
        <v>46308</v>
      </c>
      <c r="G38" s="6" t="inlineStr">
        <is>
          <t>Word</t>
        </is>
      </c>
      <c r="H38" s="6" t="inlineStr">
        <is>
          <t>Sí</t>
        </is>
      </c>
      <c r="I38" s="24" t="inlineStr">
        <is>
          <t>Fuente: fuente terciaria. Para no duplicar, la tabla IES 1 a IES 8 queda solo en el punto 3.5.4 (Cuadro 30) y aquí se la remite. Error en la fuente: la tabla "Saber Conocer" tenía una fila suelta "Integrado" y la abreviatura "CGE NIA" sin separar.</t>
        </is>
      </c>
      <c r="J38" s="6" t="n">
        <v>1</v>
      </c>
      <c r="K38" s="24" t="n"/>
    </row>
    <row r="39">
      <c r="A39" s="6" t="inlineStr">
        <is>
          <t>4.1.5</t>
        </is>
      </c>
      <c r="B39" s="7" t="inlineStr">
        <is>
          <t>Fundamentos axiológicos</t>
        </is>
      </c>
      <c r="C39" s="8" t="inlineStr">
        <is>
          <t>Jorge Cespedes Esteves</t>
        </is>
      </c>
      <c r="D39" s="8" t="inlineStr">
        <is>
          <t>Taiz Alejandra Cano Chuyma</t>
        </is>
      </c>
      <c r="E39" s="6" t="inlineStr">
        <is>
          <t>Entregado</t>
        </is>
      </c>
      <c r="F39" s="9" t="n">
        <v>46308</v>
      </c>
      <c r="G39" s="6" t="inlineStr">
        <is>
          <t>Word</t>
        </is>
      </c>
      <c r="H39" s="6" t="inlineStr">
        <is>
          <t>Sí</t>
        </is>
      </c>
      <c r="I39" s="24" t="inlineStr">
        <is>
          <t>Fuentes: fuente terciaria (4.1.5) y Plan de Desarrollo (tabla de impacto de los valores en el perfil). Para no repetir la definición de los valores de 2.2.3, aquí se usa la tabla de impacto. Se quitaron expresiones como "compromiso inquebrantable".</t>
        </is>
      </c>
      <c r="J39" s="6" t="n">
        <v>1</v>
      </c>
      <c r="K39" s="24" t="n"/>
    </row>
    <row r="40">
      <c r="A40" s="11" t="inlineStr">
        <is>
          <t>4.2</t>
        </is>
      </c>
      <c r="B40" s="12" t="inlineStr">
        <is>
          <t>Referentes disciplinares</t>
        </is>
      </c>
      <c r="C40" s="13" t="inlineStr">
        <is>
          <t>Hinojosa</t>
        </is>
      </c>
      <c r="D40" s="13" t="inlineStr">
        <is>
          <t>Melany Sarah Chavez Condori</t>
        </is>
      </c>
      <c r="E40" s="11">
        <f>IF(SUMPRODUCT(($J$41:$J$47=1)*($E$41:$E$47&lt;&gt;"No aplica"))=0,"No aplica",IF(SUMPRODUCT(($J$41:$J$47=1)*($E$41:$E$47="Entregado"))=SUMPRODUCT(($J$41:$J$47=1)*($E$41:$E$47&lt;&gt;"No aplica")),"Completo",IF(SUMPRODUCT(($J$41:$J$47=1)*($E$41:$E$47="Pendiente"))=SUMPRODUCT(($J$41:$J$47=1)*($E$41:$E$47&lt;&gt;"No aplica")),"Pendiente","En proceso")))</f>
        <v/>
      </c>
      <c r="F40" s="11">
        <f>SUMPRODUCT(($J$41:$J$47=1)*($E$41:$E$47="Entregado"))&amp;" de "&amp;SUMPRODUCT(($J$41:$J$47=1)*($E$41:$E$47&lt;&gt;"No aplica"))</f>
        <v/>
      </c>
      <c r="G40" s="11" t="inlineStr">
        <is>
          <t>—</t>
        </is>
      </c>
      <c r="H40" s="11" t="inlineStr">
        <is>
          <t>—</t>
        </is>
      </c>
      <c r="I40" s="28" t="inlineStr">
        <is>
          <t>Revisión final: "En conclusión" se cambió por "Así" para evitar una muletilla propia de textos generados.</t>
        </is>
      </c>
      <c r="J40" s="11" t="n">
        <v>0</v>
      </c>
      <c r="K40" s="28" t="n"/>
    </row>
    <row r="41">
      <c r="A41" s="6" t="inlineStr">
        <is>
          <t>4.2.1</t>
        </is>
      </c>
      <c r="B41" s="7" t="inlineStr">
        <is>
          <t>Problemas que serán abordados por el profesional</t>
        </is>
      </c>
      <c r="C41" s="8" t="inlineStr">
        <is>
          <t>Hinojosa</t>
        </is>
      </c>
      <c r="D41" s="8" t="inlineStr">
        <is>
          <t>Melany Sarah Chavez Condori</t>
        </is>
      </c>
      <c r="E41" s="6" t="inlineStr">
        <is>
          <t>Entregado</t>
        </is>
      </c>
      <c r="F41" s="9" t="n">
        <v>46308</v>
      </c>
      <c r="G41" s="6" t="inlineStr">
        <is>
          <t>Word</t>
        </is>
      </c>
      <c r="H41" s="6" t="inlineStr">
        <is>
          <t>Sí</t>
        </is>
      </c>
      <c r="I41" s="24" t="inlineStr">
        <is>
          <t>Fuente: fuente terciaria (Partes Complementarias 4.2.1). Corregido "brecha digital (93 %)" y "ISSA 5000 / NIEA 3000" (se usa NIAS 5000). Se agregaron la informalidad y la recesión del punto 3.3.</t>
        </is>
      </c>
      <c r="J41" s="6" t="n">
        <v>1</v>
      </c>
      <c r="K41" s="24" t="n"/>
    </row>
    <row r="42">
      <c r="A42" s="6" t="inlineStr">
        <is>
          <t>4.2.2</t>
        </is>
      </c>
      <c r="B42" s="7" t="inlineStr">
        <is>
          <t>Prospectiva de la profesión</t>
        </is>
      </c>
      <c r="C42" s="8" t="inlineStr">
        <is>
          <t>Hinojosa</t>
        </is>
      </c>
      <c r="D42" s="8" t="inlineStr">
        <is>
          <t>Melany Sarah Chavez Condori</t>
        </is>
      </c>
      <c r="E42" s="6" t="inlineStr">
        <is>
          <t>Entregado</t>
        </is>
      </c>
      <c r="F42" s="9" t="n">
        <v>46308</v>
      </c>
      <c r="G42" s="6" t="inlineStr">
        <is>
          <t>Word</t>
        </is>
      </c>
      <c r="H42" s="6" t="inlineStr">
        <is>
          <t>Sí</t>
        </is>
      </c>
      <c r="I42" s="24" t="inlineStr">
        <is>
          <t>Fuentes: fuente terciaria (4.2.2) y documento base Misión, Visión y Perfil 2026 (5.1: imperativo ético). Se agregó el dato del WEF del punto 3.4 para sustentar la prospectiva.</t>
        </is>
      </c>
      <c r="J42" s="6" t="n">
        <v>1</v>
      </c>
      <c r="K42" s="24" t="n"/>
    </row>
    <row r="43" ht="26.4" customHeight="1">
      <c r="A43" s="6" t="inlineStr">
        <is>
          <t>4.2.3</t>
        </is>
      </c>
      <c r="B43" s="7" t="inlineStr">
        <is>
          <t>Caracterización de la práctica de la profesión (áreas de acción y funciones)</t>
        </is>
      </c>
      <c r="C43" s="8" t="inlineStr">
        <is>
          <t>Hinojosa</t>
        </is>
      </c>
      <c r="D43" s="8" t="inlineStr">
        <is>
          <t>Melany Sarah Chavez Condori</t>
        </is>
      </c>
      <c r="E43" s="6" t="inlineStr">
        <is>
          <t>Entregado</t>
        </is>
      </c>
      <c r="F43" s="9" t="n">
        <v>46308</v>
      </c>
      <c r="G43" s="6" t="inlineStr">
        <is>
          <t>Word</t>
        </is>
      </c>
      <c r="H43" s="6" t="inlineStr">
        <is>
          <t>Sí</t>
        </is>
      </c>
      <c r="I43" s="24" t="inlineStr">
        <is>
          <t>Fuentes: fuente terciaria 4.2_1 (entorno: roles profesional, organizacional e individual; sistema de acciones y herramientas) y 4.2 (áreas de desempeño, en el Cuadro 1). CORREGIDO: "41 % ejerce de forma independiente" por 31 % (Ipsos, lámina 18). Los tres pilares que la fuente ponía en 4.2.3 (Partes Complementarias) se trasladaron a 4.2.5 (objetivos específicos), como en el documento base, para no duplicar.</t>
        </is>
      </c>
      <c r="J43" s="6" t="n">
        <v>1</v>
      </c>
      <c r="K43" s="24" t="n"/>
    </row>
    <row r="44">
      <c r="A44" s="6" t="inlineStr">
        <is>
          <t>4.2.4</t>
        </is>
      </c>
      <c r="B44" s="7" t="inlineStr">
        <is>
          <t>Objeto de la profesión</t>
        </is>
      </c>
      <c r="C44" s="8" t="inlineStr">
        <is>
          <t>Hinojosa</t>
        </is>
      </c>
      <c r="D44" s="8" t="inlineStr">
        <is>
          <t>Melany Sarah Chavez Condori</t>
        </is>
      </c>
      <c r="E44" s="6" t="inlineStr">
        <is>
          <t>Entregado</t>
        </is>
      </c>
      <c r="F44" s="9" t="n">
        <v>46308</v>
      </c>
      <c r="G44" s="6" t="inlineStr">
        <is>
          <t>Word</t>
        </is>
      </c>
      <c r="H44" s="6" t="inlineStr">
        <is>
          <t>Sí</t>
        </is>
      </c>
      <c r="I44" s="24" t="inlineStr">
        <is>
          <t>Fuente: fuente terciaria 4.2_1 y documento base 5.2. El ciclo de cinco fases del sistema de información se pasó a una tabla (Cuadro 2) para hacerlo más legible.</t>
        </is>
      </c>
      <c r="J44" s="6" t="n">
        <v>1</v>
      </c>
      <c r="K44" s="24" t="n"/>
    </row>
    <row r="45">
      <c r="A45" s="6" t="inlineStr">
        <is>
          <t>4.2.5</t>
        </is>
      </c>
      <c r="B45" s="7" t="inlineStr">
        <is>
          <t>Objetivo de la profesión</t>
        </is>
      </c>
      <c r="C45" s="8" t="inlineStr">
        <is>
          <t>Hinojosa</t>
        </is>
      </c>
      <c r="D45" s="8" t="inlineStr">
        <is>
          <t>Melany Sarah Chavez Condori</t>
        </is>
      </c>
      <c r="E45" s="6" t="inlineStr">
        <is>
          <t>Entregado</t>
        </is>
      </c>
      <c r="F45" s="9" t="n">
        <v>46308</v>
      </c>
      <c r="G45" s="6" t="inlineStr">
        <is>
          <t>Word</t>
        </is>
      </c>
      <c r="H45" s="6" t="inlineStr">
        <is>
          <t>Sí</t>
        </is>
      </c>
      <c r="I45" s="24" t="inlineStr">
        <is>
          <t>Fuente: fuente terciaria y documento base 5.3. CORREGIDO: "NIEA 2400" por "NIER 2400" (revisión de estados financieros, ISRE 2400).</t>
        </is>
      </c>
      <c r="J45" s="6" t="n">
        <v>1</v>
      </c>
      <c r="K45" s="24" t="n"/>
    </row>
    <row r="46">
      <c r="A46" s="6" t="inlineStr">
        <is>
          <t>4.2.6</t>
        </is>
      </c>
      <c r="B46" s="7" t="inlineStr">
        <is>
          <t>Competencias específicas de la profesión</t>
        </is>
      </c>
      <c r="C46" s="8" t="inlineStr">
        <is>
          <t>Hinojosa</t>
        </is>
      </c>
      <c r="D46" s="8" t="inlineStr">
        <is>
          <t>Melany Sarah Chavez Condori</t>
        </is>
      </c>
      <c r="E46" s="6" t="inlineStr">
        <is>
          <t>Entregado</t>
        </is>
      </c>
      <c r="F46" s="9" t="n">
        <v>46308</v>
      </c>
      <c r="G46" s="6" t="inlineStr">
        <is>
          <t>Word</t>
        </is>
      </c>
      <c r="H46" s="6" t="inlineStr">
        <is>
          <t>Sí</t>
        </is>
      </c>
      <c r="I46" s="24" t="inlineStr">
        <is>
          <t>Fuente: fuente terciaria 4.2_1 y documento base 5.6. CORREGIDO: "NICSC" por "NICSP"; coma faltante en "NCGA en Bolivia Normas NIIF"; "93 % de los egresados reporta brechas" por 43 a 51 pp; "brecha del 78 %" en pensamiento crítico por 25 pp; "principal actitud demandada" (adaptabilidad) se reemplazó por el dato real de Ipsos (70 % la recibió con baja frecuencia); "&amp;amp;" en la matriz. Se quitaron "de forma intransigente" e "idoneidad ética inquebrantable".</t>
        </is>
      </c>
      <c r="J46" s="6" t="n">
        <v>1</v>
      </c>
      <c r="K46" s="24" t="n"/>
    </row>
    <row r="47">
      <c r="A47" s="6" t="inlineStr">
        <is>
          <t>4.2.7</t>
        </is>
      </c>
      <c r="B47" s="7" t="inlineStr">
        <is>
          <t>Perfil profesional</t>
        </is>
      </c>
      <c r="C47" s="8" t="inlineStr">
        <is>
          <t>Hinojosa</t>
        </is>
      </c>
      <c r="D47" s="8" t="inlineStr">
        <is>
          <t>Melany Sarah Chavez Condori</t>
        </is>
      </c>
      <c r="E47" s="6" t="inlineStr">
        <is>
          <t>Entregado</t>
        </is>
      </c>
      <c r="F47" s="9" t="n">
        <v>46308</v>
      </c>
      <c r="G47" s="6" t="inlineStr">
        <is>
          <t>Word</t>
        </is>
      </c>
      <c r="H47" s="6" t="inlineStr">
        <is>
          <t>Sí</t>
        </is>
      </c>
      <c r="I47" s="24" t="inlineStr">
        <is>
          <t>Fuente: fuente terciaria (4.2.7, declaración sintética y atributos). Se mantuvo la declaración del perfil (socializada) con mínimos ajustes: "tales como:" por "como" y "analítica de Big Data" por "analítica de datos" (en Partes Complementarias decía "Big Data" y en 4.2 no). Error en la fuente: "Resolución Nª 07/2024" por N.º; "sector público y privado.;" con doble puntuación. "Certificaciones intermedias modulares" se cambió por "grados intermedios", porque el plan no define certificaciones modulares.</t>
        </is>
      </c>
      <c r="J47" s="6" t="n">
        <v>1</v>
      </c>
      <c r="K47" s="24" t="n"/>
    </row>
    <row r="48">
      <c r="A48" s="11" t="inlineStr">
        <is>
          <t>4.3</t>
        </is>
      </c>
      <c r="B48" s="12" t="inlineStr">
        <is>
          <t>Plan de estudios propuesto</t>
        </is>
      </c>
      <c r="C48" s="13" t="inlineStr">
        <is>
          <t>Mendoza Elias</t>
        </is>
      </c>
      <c r="D48" s="13" t="inlineStr">
        <is>
          <t>Gisela Leila Fernandez Cazas</t>
        </is>
      </c>
      <c r="E48" s="11">
        <f>IF(SUMPRODUCT(($J$49:$J$53=1)*($E$49:$E$53&lt;&gt;"No aplica"))=0,"No aplica",IF(SUMPRODUCT(($J$49:$J$53=1)*($E$49:$E$53="Entregado"))=SUMPRODUCT(($J$49:$J$53=1)*($E$49:$E$53&lt;&gt;"No aplica")),"Completo",IF(SUMPRODUCT(($J$49:$J$53=1)*($E$49:$E$53="Pendiente"))=SUMPRODUCT(($J$49:$J$53=1)*($E$49:$E$53&lt;&gt;"No aplica")),"Pendiente","En proceso")))</f>
        <v/>
      </c>
      <c r="F48" s="11">
        <f>SUMPRODUCT(($J$49:$J$53=1)*($E$49:$E$53="Entregado"))&amp;" de "&amp;SUMPRODUCT(($J$49:$J$53=1)*($E$49:$E$53&lt;&gt;"No aplica"))</f>
        <v/>
      </c>
      <c r="G48" s="11" t="inlineStr">
        <is>
          <t>—</t>
        </is>
      </c>
      <c r="H48" s="11" t="inlineStr">
        <is>
          <t>—</t>
        </is>
      </c>
      <c r="I48" s="14" t="n"/>
      <c r="J48" s="11" t="n">
        <v>0</v>
      </c>
      <c r="K48" s="14" t="n"/>
    </row>
    <row r="49">
      <c r="A49" s="6" t="inlineStr">
        <is>
          <t>4.3.1</t>
        </is>
      </c>
      <c r="B49" s="7" t="inlineStr">
        <is>
          <t>Modelo curricular</t>
        </is>
      </c>
      <c r="C49" s="8" t="inlineStr">
        <is>
          <t>Mendoza Elias</t>
        </is>
      </c>
      <c r="D49" s="8" t="inlineStr">
        <is>
          <t>Gisela Leila Fernandez Cazas</t>
        </is>
      </c>
      <c r="E49" s="6" t="inlineStr">
        <is>
          <t>Entregado</t>
        </is>
      </c>
      <c r="F49" s="9" t="n">
        <v>46308</v>
      </c>
      <c r="G49" s="6" t="inlineStr">
        <is>
          <t>Word</t>
        </is>
      </c>
      <c r="H49" s="6" t="inlineStr">
        <is>
          <t>Sí</t>
        </is>
      </c>
      <c r="I49" s="24" t="inlineStr">
        <is>
          <t>Fuente: comisión (4.3.1, completa). Corregido "brecha tecnológica del 93 %". Se agregó la Res. HCF 1057/2026. VERIFICAR: la comisión afirma que las IES revisadas están "vigentes desde el 1 de julio de 2026"; se omitió la fecha hasta confirmarla.</t>
        </is>
      </c>
      <c r="J49" s="6" t="n">
        <v>1</v>
      </c>
      <c r="K49" s="24" t="n"/>
    </row>
    <row r="50">
      <c r="A50" s="6" t="inlineStr">
        <is>
          <t>4.3.2</t>
        </is>
      </c>
      <c r="B50" s="7" t="inlineStr">
        <is>
          <t>Principios del modelo</t>
        </is>
      </c>
      <c r="C50" s="8" t="inlineStr">
        <is>
          <t>Mendoza Elias</t>
        </is>
      </c>
      <c r="D50" s="8" t="inlineStr">
        <is>
          <t>Gisela Leila Fernandez Cazas</t>
        </is>
      </c>
      <c r="E50" s="6" t="inlineStr">
        <is>
          <t>Entregado</t>
        </is>
      </c>
      <c r="F50" s="9" t="n">
        <v>46308</v>
      </c>
      <c r="G50" s="6" t="inlineStr">
        <is>
          <t>Word</t>
        </is>
      </c>
      <c r="H50" s="6" t="inlineStr">
        <is>
          <t>Sí</t>
        </is>
      </c>
      <c r="I50" s="24" t="inlineStr">
        <is>
          <t>Fuente: comisión. CORREGIDO: "c) Integridad" por "Integralidad" (así dice el Art. 12 de la Res. HCU 032/2025). Se eliminó la marca interna "[Verificar]" sobre "asignaturas electivas y certificaciones modulares"; la malla 2027 no tiene electivas, así que se redactó con los grados intermedios y la graduación por diplomado.</t>
        </is>
      </c>
      <c r="J50" s="6" t="n">
        <v>1</v>
      </c>
      <c r="K50" s="24" t="n"/>
    </row>
    <row r="51">
      <c r="A51" s="6" t="inlineStr">
        <is>
          <t>4.3.3</t>
        </is>
      </c>
      <c r="B51" s="7" t="inlineStr">
        <is>
          <t>Objetivo general del diseño, rediseño o ajuste</t>
        </is>
      </c>
      <c r="C51" s="8" t="inlineStr">
        <is>
          <t>Madeny</t>
        </is>
      </c>
      <c r="D51" s="8" t="inlineStr">
        <is>
          <t>Melisa Canaviri</t>
        </is>
      </c>
      <c r="E51" s="6" t="inlineStr">
        <is>
          <t>Entregado</t>
        </is>
      </c>
      <c r="F51" s="9" t="n">
        <v>46308</v>
      </c>
      <c r="G51" s="6" t="inlineStr">
        <is>
          <t>Word</t>
        </is>
      </c>
      <c r="H51" s="6" t="inlineStr">
        <is>
          <t>Sí</t>
        </is>
      </c>
      <c r="I51" s="24" t="inlineStr">
        <is>
          <t>Fuentes: comisión (objetivo general) y fuente terciaria (4.3.3: alcance y cinco campos del nuevo paradigma). Corregido "(NIEA 3000 y NIAS 5000 del IAASB) adoptadas plenamente en Bolivia": no consta su adopción plena en Bolivia, se quitó.</t>
        </is>
      </c>
      <c r="J51" s="6" t="n">
        <v>1</v>
      </c>
      <c r="K51" s="24" t="n"/>
    </row>
    <row r="52">
      <c r="A52" s="6" t="inlineStr">
        <is>
          <t>4.3.4</t>
        </is>
      </c>
      <c r="B52" s="7" t="inlineStr">
        <is>
          <t>Objetivos específicos del diseño, rediseño o ajuste</t>
        </is>
      </c>
      <c r="C52" s="8" t="inlineStr">
        <is>
          <t>Madeny</t>
        </is>
      </c>
      <c r="D52" s="8" t="inlineStr">
        <is>
          <t>Melisa Canaviri</t>
        </is>
      </c>
      <c r="E52" s="6" t="inlineStr">
        <is>
          <t>Entregado</t>
        </is>
      </c>
      <c r="F52" s="9" t="n">
        <v>46308</v>
      </c>
      <c r="G52" s="6" t="inlineStr">
        <is>
          <t>Word</t>
        </is>
      </c>
      <c r="H52" s="6" t="inlineStr">
        <is>
          <t>Sí</t>
        </is>
      </c>
      <c r="I52" s="24" t="inlineStr">
        <is>
          <t>Fuentes: comisión (nueve objetivos, en tabla) y fuente terciaria (propósitos formativos). CORREGIDO: "brecha del 93 %", "gestión del tiempo (81 %) y pensamiento crítico (78 %)" y "NIEA 5000".</t>
        </is>
      </c>
      <c r="J52" s="6" t="n">
        <v>1</v>
      </c>
      <c r="K52" s="24" t="n"/>
    </row>
    <row r="53">
      <c r="A53" s="6" t="inlineStr">
        <is>
          <t>4.3.5</t>
        </is>
      </c>
      <c r="B53" s="7" t="inlineStr">
        <is>
          <t>Duración de la carrera en años o semestres</t>
        </is>
      </c>
      <c r="C53" s="8" t="inlineStr">
        <is>
          <t>Madeny</t>
        </is>
      </c>
      <c r="D53" s="8" t="inlineStr">
        <is>
          <t>Melisa Canaviri</t>
        </is>
      </c>
      <c r="E53" s="6" t="inlineStr">
        <is>
          <t>Entregado</t>
        </is>
      </c>
      <c r="F53" s="9" t="n">
        <v>46308</v>
      </c>
      <c r="G53" s="6" t="inlineStr">
        <is>
          <t>Word</t>
        </is>
      </c>
      <c r="H53" s="6" t="inlineStr">
        <is>
          <t>Sí</t>
        </is>
      </c>
      <c r="I53" s="24" t="inlineStr">
        <is>
          <t>Fuente: comisión. Se eliminó la duplicación del documento de la comisión (los ciclos y el párrafo de créditos aparecían dos veces). Se agregaron los grados intermedios (coherencia con los puntos 1.6 y 5.4).</t>
        </is>
      </c>
      <c r="J53" s="6" t="n">
        <v>1</v>
      </c>
      <c r="K53" s="24" t="n"/>
    </row>
    <row r="54">
      <c r="A54" s="11" t="inlineStr">
        <is>
          <t>4.4</t>
        </is>
      </c>
      <c r="B54" s="12" t="inlineStr">
        <is>
          <t>Estructura curricular</t>
        </is>
      </c>
      <c r="C54" s="13" t="inlineStr">
        <is>
          <t>Comisión Supra</t>
        </is>
      </c>
      <c r="D54" s="13" t="inlineStr">
        <is>
          <t>Comisión Supra</t>
        </is>
      </c>
      <c r="E54" s="11">
        <f>IF(SUMPRODUCT(($J$55:$J$58=1)*($E$55:$E$58&lt;&gt;"No aplica"))=0,"No aplica",IF(SUMPRODUCT(($J$55:$J$58=1)*($E$55:$E$58="Entregado"))=SUMPRODUCT(($J$55:$J$58=1)*($E$55:$E$58&lt;&gt;"No aplica")),"Completo",IF(SUMPRODUCT(($J$55:$J$58=1)*($E$55:$E$58="Pendiente"))=SUMPRODUCT(($J$55:$J$58=1)*($E$55:$E$58&lt;&gt;"No aplica")),"Pendiente","En proceso")))</f>
        <v/>
      </c>
      <c r="F54" s="11">
        <f>SUMPRODUCT(($J$55:$J$58=1)*($E$55:$E$58="Entregado"))&amp;" de "&amp;SUMPRODUCT(($J$55:$J$58=1)*($E$55:$E$58&lt;&gt;"No aplica"))</f>
        <v/>
      </c>
      <c r="G54" s="11" t="inlineStr">
        <is>
          <t>—</t>
        </is>
      </c>
      <c r="H54" s="11" t="inlineStr">
        <is>
          <t>—</t>
        </is>
      </c>
      <c r="I54" s="14" t="n"/>
      <c r="J54" s="11" t="n">
        <v>0</v>
      </c>
      <c r="K54" s="14" t="n"/>
    </row>
    <row r="55" ht="26.4" customHeight="1">
      <c r="A55" s="6" t="inlineStr">
        <is>
          <t>4.4.1</t>
        </is>
      </c>
      <c r="B55" s="7" t="inlineStr">
        <is>
          <t>Descripción de la organización curricular (organización de la asignatura por áreas o ejes de conocimiento)</t>
        </is>
      </c>
      <c r="C55" s="8" t="inlineStr">
        <is>
          <t>Comisión Supra</t>
        </is>
      </c>
      <c r="D55" s="8" t="inlineStr">
        <is>
          <t>Comisión Supra</t>
        </is>
      </c>
      <c r="E55" s="6" t="inlineStr">
        <is>
          <t>Entregado</t>
        </is>
      </c>
      <c r="F55" s="9" t="n">
        <v>46308</v>
      </c>
      <c r="G55" s="6" t="inlineStr">
        <is>
          <t>Word</t>
        </is>
      </c>
      <c r="H55" s="6" t="inlineStr">
        <is>
          <t>Sí</t>
        </is>
      </c>
      <c r="I55" s="24" t="inlineStr">
        <is>
          <t>Fuente: fuente terciaria (4.4.1). CORREGIDO: contextuales 33,33 % (decía 32,33 %); "480 nrs"; letra inicial faltante ("e acuerdo"); la tabla tenía las áreas desalineadas con sus cifras. Se unificaron los ejes transversales: la comisión (4.3.1) tenía cinco y la fuente terciaria cuatro; se usaron los cinco de la comisión con las asignaturas de la fuente terciaria. INCOHERENCIA: el Plan de Desarrollo (2.3) usaba otros nombres para CPA-505, 506 y 508; se corrigió el 2.3 según la malla.</t>
        </is>
      </c>
      <c r="J55" s="6" t="n">
        <v>1</v>
      </c>
      <c r="K55" s="24" t="n"/>
    </row>
    <row r="56" ht="26.4" customHeight="1">
      <c r="A56" s="6" t="inlineStr">
        <is>
          <t>4.4.2</t>
        </is>
      </c>
      <c r="B56" s="7" t="inlineStr">
        <is>
          <t>Mapa de competencia (competencia y unidades de competencia)</t>
        </is>
      </c>
      <c r="C56" s="8" t="inlineStr">
        <is>
          <t>Comisión Supra</t>
        </is>
      </c>
      <c r="D56" s="8" t="inlineStr">
        <is>
          <t>Comisión Supra</t>
        </is>
      </c>
      <c r="E56" s="6" t="inlineStr">
        <is>
          <t>Parcial</t>
        </is>
      </c>
      <c r="F56" s="9" t="n">
        <v>46308</v>
      </c>
      <c r="G56" s="6" t="inlineStr">
        <is>
          <t>Word</t>
        </is>
      </c>
      <c r="H56" s="6" t="inlineStr">
        <is>
          <t>Sí</t>
        </is>
      </c>
      <c r="I56" s="24" t="inlineStr">
        <is>
          <t>Fuente: fuente terciaria (atributos del egresado). La fuente no presentaba la competencia global ni las competencias por área que pide el Art. 8; se redactaron como PROPUESTA a partir del perfil y de la descripción de áreas, y se indica que las unidades de competencia por asignatura van en los planes de asignatura (4.5). VALIDAR la redacción con la comisión.</t>
        </is>
      </c>
      <c r="J56" s="6" t="n">
        <v>1</v>
      </c>
      <c r="K56" s="24" t="n"/>
    </row>
    <row r="57" ht="39.6" customHeight="1">
      <c r="A57" s="6" t="inlineStr">
        <is>
          <t>4.4.3</t>
        </is>
      </c>
      <c r="B57" s="7" t="inlineStr">
        <is>
          <t>Malla curricular (siglas, nombres de la asignatura, carga horaria, créditos, prerrequisitos) por ciclos y semestres/año</t>
        </is>
      </c>
      <c r="C57" s="8" t="inlineStr">
        <is>
          <t>Comisión Supra</t>
        </is>
      </c>
      <c r="D57" s="8" t="inlineStr">
        <is>
          <t>Comisión Supra</t>
        </is>
      </c>
      <c r="E57" s="6" t="inlineStr">
        <is>
          <t>Entregado</t>
        </is>
      </c>
      <c r="F57" s="9" t="n">
        <v>46308</v>
      </c>
      <c r="G57" s="6" t="inlineStr">
        <is>
          <t>Word</t>
        </is>
      </c>
      <c r="H57" s="6" t="inlineStr">
        <is>
          <t>Sí</t>
        </is>
      </c>
      <c r="I57" s="24" t="inlineStr">
        <is>
          <t>Fuente: fuente terciaria (malla 2027). Verificada: 43 asignaturas, 150 h/semana, 6.000 h, 16/13/3/3/3/5 por área, coherente con el Cuadro 1. La fuente no tenía créditos; se calcularon con el método de la comisión (4.3.5): hora académica de 45 min, 1 hora autónoma por hora presencial, 30 h por crédito; resultado: asignatura de 4 h/sem = 8 créditos y de 2 h/sem = 4; total 300. VALIDAR el método. Nombre corregido: "Auditoría de Proyectos Público y Privado" por "Públicos y Privados". OBSERVACIÓN: la malla 2027 es casi igual a la del Plan 2024 (que ya tenía CPA-204 y CPA-406 Ética e Independencia); confirmar si el Plan 2024 fue un ajuste aprobado.</t>
        </is>
      </c>
      <c r="J57" s="6" t="n">
        <v>1</v>
      </c>
      <c r="K57" s="24" t="n"/>
    </row>
    <row r="58" ht="26.4" customHeight="1">
      <c r="A58" s="6" t="inlineStr">
        <is>
          <t>4.4.4</t>
        </is>
      </c>
      <c r="B58" s="7" t="inlineStr">
        <is>
          <t>Cuadro de asignación de cargas horarias presenciales, no presenciales, (según formato)</t>
        </is>
      </c>
      <c r="C58" s="8" t="inlineStr">
        <is>
          <t>Comisión Supra</t>
        </is>
      </c>
      <c r="D58" s="8" t="inlineStr">
        <is>
          <t>Comisión Supra</t>
        </is>
      </c>
      <c r="E58" s="6" t="inlineStr">
        <is>
          <t>Entregado</t>
        </is>
      </c>
      <c r="F58" s="9" t="n">
        <v>46308</v>
      </c>
      <c r="G58" s="6" t="inlineStr">
        <is>
          <t>Word</t>
        </is>
      </c>
      <c r="H58" s="6" t="inlineStr">
        <is>
          <t>Sí</t>
        </is>
      </c>
      <c r="I58" s="24" t="inlineStr">
        <is>
          <t>Fuente: fuente terciaria (4.4.4.1), ampliada con horas presenciales, no presenciales y créditos. Error en la fuente: primer año 17,34 % (correcto: 17,33 %). Los créditos por año quedan en 52, 60, 64, 64 y 60 (total 300); el normalizador UMSA indica 60 por año, así que la comisión debe decidir si redistribuye la carga.</t>
        </is>
      </c>
      <c r="J58" s="6" t="n">
        <v>1</v>
      </c>
      <c r="K58" s="24" t="n"/>
    </row>
    <row r="59">
      <c r="A59" s="11" t="inlineStr">
        <is>
          <t>4.5</t>
        </is>
      </c>
      <c r="B59" s="12" t="inlineStr">
        <is>
          <t>Planes de asignatura (descripción de la asignatura)</t>
        </is>
      </c>
      <c r="C59" s="13" t="inlineStr">
        <is>
          <t>Subcomisiones por área</t>
        </is>
      </c>
      <c r="D59" s="13" t="inlineStr">
        <is>
          <t>Subcomisiones por área</t>
        </is>
      </c>
      <c r="E59" s="11">
        <f>IF(SUMPRODUCT(($J$60:$J$68=1)*($E$60:$E$68&lt;&gt;"No aplica"))=0,"No aplica",IF(SUMPRODUCT(($J$60:$J$68=1)*($E$60:$E$68="Entregado"))=SUMPRODUCT(($J$60:$J$68=1)*($E$60:$E$68&lt;&gt;"No aplica")),"Completo",IF(SUMPRODUCT(($J$60:$J$68=1)*($E$60:$E$68="Pendiente"))=SUMPRODUCT(($J$60:$J$68=1)*($E$60:$E$68&lt;&gt;"No aplica")),"Pendiente","En proceso")))</f>
        <v/>
      </c>
      <c r="F59" s="11">
        <f>SUMPRODUCT(($J$60:$J$68=1)*($E$60:$E$68="Entregado"))&amp;" de "&amp;SUMPRODUCT(($J$60:$J$68=1)*($E$60:$E$68&lt;&gt;"No aplica"))</f>
        <v/>
      </c>
      <c r="G59" s="11" t="inlineStr">
        <is>
          <t>—</t>
        </is>
      </c>
      <c r="H59" s="11" t="inlineStr">
        <is>
          <t>—</t>
        </is>
      </c>
      <c r="I59" s="14" t="n"/>
      <c r="J59" s="11" t="n">
        <v>0</v>
      </c>
      <c r="K59" s="14" t="n"/>
    </row>
    <row r="60" ht="39.6" customHeight="1">
      <c r="A60" s="6" t="inlineStr">
        <is>
          <t>4.5-a</t>
        </is>
      </c>
      <c r="B60" s="7" t="inlineStr">
        <is>
          <t>Subcomisión Información Financiera General</t>
        </is>
      </c>
      <c r="C60" s="8" t="inlineStr">
        <is>
          <t>Gonzalo Terán Gandarillas / Edwin Gutiérrez Zapana</t>
        </is>
      </c>
      <c r="D60" s="8" t="inlineStr">
        <is>
          <t>Jose David Huanca Callizaya / Elva Danitza Cachaga Alanoca</t>
        </is>
      </c>
      <c r="E60" s="6" t="inlineStr">
        <is>
          <t>Entregado</t>
        </is>
      </c>
      <c r="F60" s="9" t="n">
        <v>46309</v>
      </c>
      <c r="G60" s="6" t="inlineStr">
        <is>
          <t>Word</t>
        </is>
      </c>
      <c r="H60" s="6" t="inlineStr">
        <is>
          <t>Revisado</t>
        </is>
      </c>
      <c r="I60" s="24" t="inlineStr">
        <is>
          <t xml:space="preserve">Observado. 6 itinerarios (CPA-101, 201, 202, 203, 301, 302). Estado: 5 ajustes menores y CPA-301 requiere ajustes. Sin cambios de nombre. Horas llenadas en los 6; CPA-301 sin columna «En clase». El informe de la subcomisión declara cambios en CPA-201 que el itinerario solo refleja en parte. Revisado en «4.5 Informe de revisión de los itinerarios formativos.docx» (matriz de cumplimiento de la guía, resumen y detalle por asignatura). Correcciones ortográficas y de forma con control de cambios en la carpeta «4.5 Itinerarios corregidos». </t>
        </is>
      </c>
      <c r="J60" s="6" t="n">
        <v>1</v>
      </c>
      <c r="K60" s="24" t="n"/>
    </row>
    <row r="61" ht="26.4" customHeight="1">
      <c r="A61" s="6" t="inlineStr">
        <is>
          <t>4.5-b</t>
        </is>
      </c>
      <c r="B61" s="7" t="inlineStr">
        <is>
          <t>Subcomisión Información Financiera Especializada</t>
        </is>
      </c>
      <c r="C61" s="8" t="inlineStr">
        <is>
          <t>Edith Esther López Mamani / Guido Rogelio Yujra Segales</t>
        </is>
      </c>
      <c r="D61" s="8" t="inlineStr">
        <is>
          <t>Leonardo Fabio Oblitas Flores / Marco Marcelo Escobar Bozo</t>
        </is>
      </c>
      <c r="E61" s="6" t="inlineStr">
        <is>
          <t>Entregado</t>
        </is>
      </c>
      <c r="F61" s="9" t="n">
        <v>46309</v>
      </c>
      <c r="G61" s="6" t="inlineStr">
        <is>
          <t>Word</t>
        </is>
      </c>
      <c r="H61" s="6" t="inlineStr">
        <is>
          <t>Revisado</t>
        </is>
      </c>
      <c r="I61" s="24" t="inlineStr">
        <is>
          <t xml:space="preserve">Observado. 7 itinerarios (CPA-303, 304, 401 a 405). Estado: CPA-303 y CPA-404 requieren reformulación parcial; CPA-402 y CPA-403 requieren ajustes; el resto, ajustes menores. Cambios de nombre: CPA-304 («Presupuesto y Contabilidad Gubernamental») y sigla CPA-406 dentro de CPA-405. CPA-404 entregado con 992 cambios controlados sin resolver. Revisado en «4.5 Informe de revisión de los itinerarios formativos.docx» (matriz de cumplimiento de la guía, resumen y detalle por asignatura). Correcciones ortográficas y de forma con control de cambios en la carpeta «4.5 Itinerarios corregidos». </t>
        </is>
      </c>
      <c r="J61" s="6" t="n">
        <v>1</v>
      </c>
      <c r="K61" s="24" t="n"/>
    </row>
    <row r="62" ht="39.6" customHeight="1">
      <c r="A62" s="6" t="inlineStr">
        <is>
          <t>4.5-c</t>
        </is>
      </c>
      <c r="B62" s="7" t="inlineStr">
        <is>
          <t>Subcomisión Servicios de Aseguramiento y No Aseguramiento</t>
        </is>
      </c>
      <c r="C62" s="8" t="inlineStr">
        <is>
          <t>Martin Calani / Víctor Delfín Pelaez Mariscal</t>
        </is>
      </c>
      <c r="D62" s="8" t="inlineStr">
        <is>
          <t>Valery Tatiana Chuquimia Rojas / Rocio del Alba Flores Colque</t>
        </is>
      </c>
      <c r="E62" s="6" t="inlineStr">
        <is>
          <t>Entregado</t>
        </is>
      </c>
      <c r="F62" s="9" t="n">
        <v>46309</v>
      </c>
      <c r="G62" s="6" t="inlineStr">
        <is>
          <t>Word</t>
        </is>
      </c>
      <c r="H62" s="6" t="inlineStr">
        <is>
          <t>Revisado</t>
        </is>
      </c>
      <c r="I62" s="24" t="inlineStr">
        <is>
          <t xml:space="preserve">Observado. 11 itinerarios (CPA-406 a 408, 501 a 504, 506 a 509). Estado: CPA-407 requiere reformulación parcial; CPA-408, 502, 504, 506, 507 y 508 requieren ajustes. Cambios de nombre sin justificar: CPA-408, 506, 507 y 508. CPA-504 tiene pegado en la bibliografía un mensaje de un asistente de IA. CPA-507 está todo en fuente Inter. Revisado en «4.5 Informe de revisión de los itinerarios formativos.docx» (matriz de cumplimiento de la guía, resumen y detalle por asignatura). Correcciones ortográficas y de forma con control de cambios en la carpeta «4.5 Itinerarios corregidos». </t>
        </is>
      </c>
      <c r="J62" s="6" t="n">
        <v>1</v>
      </c>
      <c r="K62" s="24" t="n"/>
    </row>
    <row r="63" ht="26.4" customHeight="1">
      <c r="A63" s="6" t="inlineStr">
        <is>
          <t>4.5-d</t>
        </is>
      </c>
      <c r="B63" s="7" t="inlineStr">
        <is>
          <t>Subcomisión Sistemas</t>
        </is>
      </c>
      <c r="C63" s="8" t="inlineStr">
        <is>
          <t>Juan Carlos Lea Plaza Lopez / Miguel Cotaña Mier</t>
        </is>
      </c>
      <c r="D63" s="8" t="inlineStr">
        <is>
          <t>Pillco Yana Camila / Zambrana Barrionuevo Jheferson</t>
        </is>
      </c>
      <c r="E63" s="6" t="inlineStr">
        <is>
          <t>Entregado</t>
        </is>
      </c>
      <c r="F63" s="9" t="n">
        <v>46309</v>
      </c>
      <c r="G63" s="6" t="inlineStr">
        <is>
          <t>Word</t>
        </is>
      </c>
      <c r="H63" s="6" t="inlineStr">
        <is>
          <t>Revisado</t>
        </is>
      </c>
      <c r="I63" s="24" t="inlineStr">
        <is>
          <t xml:space="preserve">Observado. 3 itinerarios (CPA-102, 305, 505). Estado: CPA-305 requiere reformulación parcial (no desarrolla ERP ni análisis de datos), CPA-102 requiere ajustes, CPA-505 ajustes menores. Cambios de nombre: CPA-102 y CPA-305. Créditos llenados en los 3. Sin informe de subcomisión. Revisado en «4.5 Informe de revisión de los itinerarios formativos.docx» (matriz de cumplimiento de la guía, resumen y detalle por asignatura). Correcciones ortográficas y de forma con control de cambios en la carpeta «4.5 Itinerarios corregidos». </t>
        </is>
      </c>
      <c r="J63" s="6" t="n">
        <v>1</v>
      </c>
      <c r="K63" s="24" t="n"/>
    </row>
    <row r="64" ht="26.4" customHeight="1">
      <c r="A64" s="6" t="inlineStr">
        <is>
          <t>4.5-e</t>
        </is>
      </c>
      <c r="B64" s="7" t="inlineStr">
        <is>
          <t>Subcomisión Administración</t>
        </is>
      </c>
      <c r="C64" s="8" t="inlineStr">
        <is>
          <t>Juan Carlos Sánchez Bolaños / Orlando Alfato</t>
        </is>
      </c>
      <c r="D64" s="8" t="inlineStr">
        <is>
          <t>Luz Alejandra Chavez Conde / Nicol Tatiana Cornejo Choque</t>
        </is>
      </c>
      <c r="E64" s="6" t="inlineStr">
        <is>
          <t>Entregado</t>
        </is>
      </c>
      <c r="F64" s="9" t="n">
        <v>46309</v>
      </c>
      <c r="G64" s="6" t="inlineStr">
        <is>
          <t>PDF</t>
        </is>
      </c>
      <c r="H64" s="6" t="inlineStr">
        <is>
          <t>Revisado</t>
        </is>
      </c>
      <c r="I64" s="24" t="inlineStr">
        <is>
          <t xml:space="preserve">Observado. 3 itinerarios entregados en PDF, no en Word; deben entregarse en Word editable. Estado: ADM-201 requiere reformulación parcial, ADM-301 requiere ajustes, ADM-101 ajustes menores. Correcciones de ADM-201 listadas en el Anexo A del informe. Sin informe de subcomisión. Revisado en «4.5 Informe de revisión de los itinerarios formativos.docx» (matriz de cumplimiento de la guía, resumen y detalle por asignatura). Correcciones ortográficas y de forma con control de cambios en la carpeta «4.5 Itinerarios corregidos». </t>
        </is>
      </c>
      <c r="J64" s="6" t="n">
        <v>1</v>
      </c>
      <c r="K64" s="24" t="n"/>
    </row>
    <row r="65" ht="39.6" customHeight="1">
      <c r="A65" s="6" t="inlineStr">
        <is>
          <t>4.5-f</t>
        </is>
      </c>
      <c r="B65" s="7" t="inlineStr">
        <is>
          <t>Subcomisión Derecho</t>
        </is>
      </c>
      <c r="C65" s="8" t="inlineStr">
        <is>
          <t>Walter Marcelo Torrez Quispe / Ricardo Ramiro Tola Fernández</t>
        </is>
      </c>
      <c r="D65" s="8" t="inlineStr">
        <is>
          <t>Anthony Alexander Espinoza Gutierrez / Fernanda Camila Gonzales Quispe</t>
        </is>
      </c>
      <c r="E65" s="6" t="inlineStr">
        <is>
          <t>Entregado</t>
        </is>
      </c>
      <c r="F65" s="9" t="n">
        <v>46309</v>
      </c>
      <c r="G65" s="6" t="inlineStr">
        <is>
          <t>Word</t>
        </is>
      </c>
      <c r="H65" s="6" t="inlineStr">
        <is>
          <t>Revisado</t>
        </is>
      </c>
      <c r="I65" s="24" t="inlineStr">
        <is>
          <t xml:space="preserve">Observado. 3 itinerarios (DER-101, 102, 201). Estado: DER-201 requiere ajustes; el resto, ajustes menores. Sin cambios de nombre. Sin informe de subcomisión. Revisado en «4.5 Informe de revisión de los itinerarios formativos.docx» (matriz de cumplimiento de la guía, resumen y detalle por asignatura). Correcciones ortográficas y de forma con control de cambios en la carpeta «4.5 Itinerarios corregidos». </t>
        </is>
      </c>
      <c r="J65" s="6" t="n">
        <v>1</v>
      </c>
      <c r="K65" s="24" t="n"/>
    </row>
    <row r="66" ht="26.4" customHeight="1">
      <c r="A66" s="6" t="inlineStr">
        <is>
          <t>4.5-g</t>
        </is>
      </c>
      <c r="B66" s="7" t="inlineStr">
        <is>
          <t>Subcomisión Economía</t>
        </is>
      </c>
      <c r="C66" s="8" t="inlineStr">
        <is>
          <t>Luis Medina Rivero / Espejo Davalos Juvenal</t>
        </is>
      </c>
      <c r="D66" s="8" t="inlineStr">
        <is>
          <t>Carla Isabel Huiza Callisaya / Jhamil Sander Quispe Mamani</t>
        </is>
      </c>
      <c r="E66" s="6" t="inlineStr">
        <is>
          <t>Entregado</t>
        </is>
      </c>
      <c r="F66" s="9" t="n">
        <v>46309</v>
      </c>
      <c r="G66" s="6" t="inlineStr">
        <is>
          <t>Word</t>
        </is>
      </c>
      <c r="H66" s="6" t="inlineStr">
        <is>
          <t>Revisado</t>
        </is>
      </c>
      <c r="I66" s="24" t="inlineStr">
        <is>
          <t xml:space="preserve">Observado. 3 itinerarios (ECO-101, 201, 301). Estado: ECO-301 requiere ajustes; el resto, ajustes menores. Sin cambios de nombre. Los cambios que declara el informe de la subcomisión quedaron aplicados solo en parte. Revisado en «4.5 Informe de revisión de los itinerarios formativos.docx» (matriz de cumplimiento de la guía, resumen y detalle por asignatura). Correcciones ortográficas y de forma con control de cambios en la carpeta «4.5 Itinerarios corregidos». </t>
        </is>
      </c>
      <c r="J66" s="6" t="n">
        <v>1</v>
      </c>
      <c r="K66" s="24" t="n"/>
    </row>
    <row r="67" ht="26.4" customHeight="1">
      <c r="A67" s="6" t="inlineStr">
        <is>
          <t>4.5-h</t>
        </is>
      </c>
      <c r="B67" s="7" t="inlineStr">
        <is>
          <t>Subcomisión Metodología de la Investigación</t>
        </is>
      </c>
      <c r="C67" s="8" t="inlineStr">
        <is>
          <t>Sigfrido Ariel Burgoa Cortez / Jorge Cespedes Esteves</t>
        </is>
      </c>
      <c r="D67" s="8" t="inlineStr">
        <is>
          <t>Taiz Alejandra Cano Chuyma</t>
        </is>
      </c>
      <c r="E67" s="6" t="inlineStr">
        <is>
          <t>Entregado</t>
        </is>
      </c>
      <c r="F67" s="9" t="n">
        <v>46309</v>
      </c>
      <c r="G67" s="6" t="inlineStr">
        <is>
          <t>Word</t>
        </is>
      </c>
      <c r="H67" s="6" t="inlineStr">
        <is>
          <t>Revisado</t>
        </is>
      </c>
      <c r="I67" s="24" t="inlineStr">
        <is>
          <t xml:space="preserve">Observado. 2 itinerarios (CPA-204, 510). Estado: CPA-510 requiere ajustes (sigla HTC, rótulo «Clases», sin trabajo dirigido, diplomado ni PETAENG); CPA-204, ajustes menores y único que dejó las horas en blanco. Sin informe de subcomisión. Revisado en «4.5 Informe de revisión de los itinerarios formativos.docx» (matriz de cumplimiento de la guía, resumen y detalle por asignatura). Correcciones ortográficas y de forma con control de cambios en la carpeta «4.5 Itinerarios corregidos». </t>
        </is>
      </c>
      <c r="J67" s="6" t="n">
        <v>1</v>
      </c>
      <c r="K67" s="24" t="n"/>
    </row>
    <row r="68" ht="26.4" customHeight="1">
      <c r="A68" s="6" t="inlineStr">
        <is>
          <t>4.5-i</t>
        </is>
      </c>
      <c r="B68" s="7" t="inlineStr">
        <is>
          <t>Subcomisión Matemática</t>
        </is>
      </c>
      <c r="C68" s="8" t="inlineStr">
        <is>
          <t>Darío David Yujra Crespo / Domingo Julio Pérez Centellas</t>
        </is>
      </c>
      <c r="D68" s="8" t="inlineStr">
        <is>
          <t>Eileen Juarez Flores / Jaime Andres Patty Lazcano</t>
        </is>
      </c>
      <c r="E68" s="6" t="inlineStr">
        <is>
          <t>Entregado</t>
        </is>
      </c>
      <c r="F68" s="9" t="n">
        <v>46309</v>
      </c>
      <c r="G68" s="6" t="inlineStr">
        <is>
          <t>Word</t>
        </is>
      </c>
      <c r="H68" s="6" t="inlineStr">
        <is>
          <t>Revisado</t>
        </is>
      </c>
      <c r="I68" s="24" t="inlineStr">
        <is>
          <t xml:space="preserve">Observado. 5 itinerarios (MAT-101, 102, 201, 301, 401). Estado: MAT-201 y MAT-301 requieren reformulación parcial, MAT-401 requiere ajustes, MAT-101 y MAT-102 ajustes menores. Cambio de nombre: MAT-201 («Álgebra y Programación Lineales»). Sin informe de subcomisión. Revisado en «4.5 Informe de revisión de los itinerarios formativos.docx» (matriz de cumplimiento de la guía, resumen y detalle por asignatura). Correcciones ortográficas y de forma con control de cambios en la carpeta «4.5 Itinerarios corregidos». </t>
        </is>
      </c>
      <c r="J68" s="6" t="n">
        <v>1</v>
      </c>
      <c r="K68" s="24" t="n"/>
    </row>
    <row r="69" ht="25.2" customHeight="1">
      <c r="A69" s="15" t="inlineStr">
        <is>
          <t>4.6</t>
        </is>
      </c>
      <c r="B69" s="16" t="inlineStr">
        <is>
          <t>Estrategias de aprendizaje y estrategias de enseñanza (estrategias, métodos, tipos, recursos)</t>
        </is>
      </c>
      <c r="C69" s="17" t="inlineStr">
        <is>
          <t>Sin asignar</t>
        </is>
      </c>
      <c r="D69" s="17" t="inlineStr">
        <is>
          <t>Sin asignar</t>
        </is>
      </c>
      <c r="E69" s="15" t="inlineStr">
        <is>
          <t>Entregado</t>
        </is>
      </c>
      <c r="F69" s="18" t="n">
        <v>46308</v>
      </c>
      <c r="G69" s="15" t="inlineStr">
        <is>
          <t>Word</t>
        </is>
      </c>
      <c r="H69" s="15" t="inlineStr">
        <is>
          <t>Sí</t>
        </is>
      </c>
      <c r="I69" s="25" t="inlineStr">
        <is>
          <t>Fuentes: Plan 2024 (4.6: métodos y medios, que estaban duplicados en el documento), comisión (4.3.1: modelo pedagógico), Plan 2024 (4.1.4: componentes del modelo dialogante) y diagnóstico (7.1: plataforma virtual y bases de datos). Ningún documento separaba las estrategias de aprendizaje de las de enseñanza, como exige el Art. 12; se organizaron en cinco subpuntos: aprendizaje, enseñanza, métodos, tipos y recursos.</t>
        </is>
      </c>
      <c r="J69" s="15" t="n">
        <v>1</v>
      </c>
      <c r="K69" s="25" t="n"/>
    </row>
    <row r="70" ht="25.2" customHeight="1">
      <c r="A70" s="15" t="inlineStr">
        <is>
          <t>4.7</t>
        </is>
      </c>
      <c r="B70" s="16" t="inlineStr">
        <is>
          <t>Evaluación de aprendizajes (estrategias, métodos, tipos, procedimientos, instrumentos y pruebas a desarrollar)</t>
        </is>
      </c>
      <c r="C70" s="17" t="inlineStr">
        <is>
          <t>Sin asignar</t>
        </is>
      </c>
      <c r="D70" s="17" t="inlineStr">
        <is>
          <t>Sin asignar</t>
        </is>
      </c>
      <c r="E70" s="15" t="inlineStr">
        <is>
          <t>Entregado</t>
        </is>
      </c>
      <c r="F70" s="18" t="n">
        <v>46308</v>
      </c>
      <c r="G70" s="15" t="inlineStr">
        <is>
          <t>Word</t>
        </is>
      </c>
      <c r="H70" s="15" t="inlineStr">
        <is>
          <t>Sí</t>
        </is>
      </c>
      <c r="I70" s="25" t="inlineStr">
        <is>
          <t>Fuentes: fuente terciaria (4.7), Plan 2024 (3.16, escala y mesas) y comisión (evidencias). CORREGIDO: la fuente terciaria citaba el "Artículo 10 de la Res. HCU 032/2025" para la evaluación de aprendizajes, pero el Art. 10 trata la evaluación ex ante del plan; se citaron los Arts. 9 y 12. VERIFICAR la "Res. HCU 424/2023, Reglamento de Evaluación y Acreditación Académica del Pregrado" (solo en la fuente terciaria; no se usó). "Casos clínicos" se cambió por "casos". Lista de mesas de examen actualizada a los nombres de la malla 2027 (DER-101 y DER-201 tenían nombres antiguos).</t>
        </is>
      </c>
      <c r="J70" s="15" t="n">
        <v>1</v>
      </c>
      <c r="K70" s="25" t="n"/>
    </row>
    <row r="71">
      <c r="A71" s="15" t="inlineStr">
        <is>
          <t>4.8</t>
        </is>
      </c>
      <c r="B71" s="16" t="inlineStr">
        <is>
          <t>Prácticas preprofesionales</t>
        </is>
      </c>
      <c r="C71" s="17" t="inlineStr">
        <is>
          <t>Sin asignar</t>
        </is>
      </c>
      <c r="D71" s="17" t="inlineStr">
        <is>
          <t>Sin asignar</t>
        </is>
      </c>
      <c r="E71" s="15" t="inlineStr">
        <is>
          <t>Parcial</t>
        </is>
      </c>
      <c r="F71" s="18" t="n">
        <v>46308</v>
      </c>
      <c r="G71" s="15" t="inlineStr">
        <is>
          <t>Word</t>
        </is>
      </c>
      <c r="H71" s="15" t="inlineStr">
        <is>
          <t>Sí</t>
        </is>
      </c>
      <c r="I71" s="25" t="inlineStr">
        <is>
          <t>Ningún documento desarrollaba las prácticas preprofesionales (el 4.8 del Plan 2024 solo trataba de trabajos de aplicación). Redactado con: Art. 12 de la Res. HCU 032/2025, IES 5, diagnóstico (88 %, BID 25 %), Ipsos (42 %), Plan de Desarrollo (pasantías desde 3.er año, convenios, consultoría social contable, meta del 100 %) y Plan 2024 (prácticas formativas). PENDIENTE de decisión de la Comisión: carga horaria mínima de la práctica, requisitos y reglamento específico; la malla de 6.000 h no tiene horas propias para la práctica, así que se propuso registrarla como horas no presenciales.</t>
        </is>
      </c>
      <c r="J71" s="15" t="n">
        <v>1</v>
      </c>
      <c r="K71" s="25" t="n"/>
    </row>
    <row r="72" ht="25.2" customHeight="1">
      <c r="A72" s="3" t="inlineStr">
        <is>
          <t>5.</t>
        </is>
      </c>
      <c r="B72" s="4" t="inlineStr">
        <is>
          <t>Admisión, promoción y graduación</t>
        </is>
      </c>
      <c r="C72" s="4" t="inlineStr">
        <is>
          <t>Daniel Laura Choque</t>
        </is>
      </c>
      <c r="D72" s="4" t="inlineStr">
        <is>
          <t>Sandra Alison Maidana Mamani</t>
        </is>
      </c>
      <c r="E72" s="3">
        <f>IF(SUMPRODUCT(($J$73:$J$76=1)*($E$73:$E$76&lt;&gt;"No aplica"))=0,"No aplica",IF(SUMPRODUCT(($J$73:$J$76=1)*($E$73:$E$76="Entregado"))=SUMPRODUCT(($J$73:$J$76=1)*($E$73:$E$76&lt;&gt;"No aplica")),"Completo",IF(SUMPRODUCT(($J$73:$J$76=1)*($E$73:$E$76="Pendiente"))=SUMPRODUCT(($J$73:$J$76=1)*($E$73:$E$76&lt;&gt;"No aplica")),"Pendiente","En proceso")))</f>
        <v/>
      </c>
      <c r="F72" s="3">
        <f>SUMPRODUCT(($J$73:$J$76=1)*($E$73:$E$76="Entregado"))&amp;" de "&amp;SUMPRODUCT(($J$73:$J$76=1)*($E$73:$E$76&lt;&gt;"No aplica"))</f>
        <v/>
      </c>
      <c r="G72" s="3" t="inlineStr">
        <is>
          <t>—</t>
        </is>
      </c>
      <c r="H72" s="3" t="inlineStr">
        <is>
          <t>—</t>
        </is>
      </c>
      <c r="I72" s="5" t="n"/>
      <c r="J72" s="3" t="n">
        <v>0</v>
      </c>
      <c r="K72" s="5" t="n"/>
    </row>
    <row r="73" ht="26.4" customHeight="1">
      <c r="A73" s="6" t="inlineStr">
        <is>
          <t>5.1</t>
        </is>
      </c>
      <c r="B73" s="7" t="inlineStr">
        <is>
          <t>Perfil del postulante</t>
        </is>
      </c>
      <c r="C73" s="8" t="inlineStr">
        <is>
          <t>Daniel Laura Choque</t>
        </is>
      </c>
      <c r="D73" s="8" t="inlineStr">
        <is>
          <t>Sandra Alison Maidana Mamani</t>
        </is>
      </c>
      <c r="E73" s="6" t="inlineStr">
        <is>
          <t>Entregado</t>
        </is>
      </c>
      <c r="F73" s="9" t="n">
        <v>46308</v>
      </c>
      <c r="G73" s="6" t="inlineStr">
        <is>
          <t>Word</t>
        </is>
      </c>
      <c r="H73" s="6" t="inlineStr">
        <is>
          <t>Sí</t>
        </is>
      </c>
      <c r="I73" s="24" t="inlineStr">
        <is>
          <t>Fuentes: fuente terciaria (5.1.1, perfil de ingreso; base del texto), Plan 2024 (5.1) y comisión (5.1: brecha con el perfil real). Se quitó "Mecanismos de admisión (IES 1)" del perfil, porque corresponde a 5.2.</t>
        </is>
      </c>
      <c r="J73" s="6" t="n">
        <v>1</v>
      </c>
      <c r="K73" s="24" t="n"/>
    </row>
    <row r="74" ht="26.4" customHeight="1">
      <c r="A74" s="6" t="inlineStr">
        <is>
          <t>5.2</t>
        </is>
      </c>
      <c r="B74" s="7" t="inlineStr">
        <is>
          <t>Modalidades de admisión</t>
        </is>
      </c>
      <c r="C74" s="8" t="inlineStr">
        <is>
          <t>Daniel Laura Choque</t>
        </is>
      </c>
      <c r="D74" s="8" t="inlineStr">
        <is>
          <t>Sandra Alison Maidana Mamani</t>
        </is>
      </c>
      <c r="E74" s="6" t="inlineStr">
        <is>
          <t>Entregado</t>
        </is>
      </c>
      <c r="F74" s="9" t="n">
        <v>46308</v>
      </c>
      <c r="G74" s="6" t="inlineStr">
        <is>
          <t>Word</t>
        </is>
      </c>
      <c r="H74" s="6" t="inlineStr">
        <is>
          <t>Sí</t>
        </is>
      </c>
      <c r="I74" s="24" t="inlineStr">
        <is>
          <t>Fuentes: fuente terciaria (5.2.1: tres modalidades con detalle de la Admisión Especial) y comisión (diagnóstico y propuestas 1.1 a 1.3, resumidas en 5.2.1 y 5.2.2). ERROR de la comisión: llama a la PSA "Examen de Suficiencia Académica"; se unificó como Prueba de Suficiencia Académica, igual que en la malla (4.4.3) y en el punto 3. Además, la comisión describe la Admisión Especial como "traspasos de carrera", lo que no coincide con la fuente terciaria ni con la normativa; se usó la lista de la fuente terciaria. Dato agregado: 26,62 % de matrícula no activada (diagnóstico).</t>
        </is>
      </c>
      <c r="J74" s="6" t="n">
        <v>1</v>
      </c>
      <c r="K74" s="24" t="n"/>
    </row>
    <row r="75" ht="26.4" customHeight="1">
      <c r="A75" s="6" t="inlineStr">
        <is>
          <t>5.3</t>
        </is>
      </c>
      <c r="B75" s="7" t="inlineStr">
        <is>
          <t>Condiciones de permanencia, licencias, suspensiones, plazo máximo de reincorporación, abandono, etc.</t>
        </is>
      </c>
      <c r="C75" s="8" t="inlineStr">
        <is>
          <t>Jorge Ordoñez Oporto</t>
        </is>
      </c>
      <c r="D75" s="8" t="inlineStr">
        <is>
          <t>Josue Pilco Tito</t>
        </is>
      </c>
      <c r="E75" s="6" t="inlineStr">
        <is>
          <t>Parcial</t>
        </is>
      </c>
      <c r="F75" s="9" t="n">
        <v>46308</v>
      </c>
      <c r="G75" s="6" t="inlineStr">
        <is>
          <t>Word</t>
        </is>
      </c>
      <c r="H75" s="6" t="inlineStr">
        <is>
          <t>Sí</t>
        </is>
      </c>
      <c r="I75" s="24" t="inlineStr">
        <is>
          <t>Fuentes: fuente terciaria (5.3.1: régimen, cursos de temporada y mesas de examen), comisión (5.3: diagnóstico y propuestas 2.1 a 2.4) y Plan 2024. FALTABA en todas las fuentes el contenido sobre licencias, suspensiones, reincorporación y abandono que pide el índice; se redactó con el Art. 16 del Reglamento del Régimen Estudiantil (en verde) y reglas generales, sin plazos. PENDIENTE: plazos máximos de suspensión y reincorporación según el reglamento de la UMSA. DECISIONES POR CONFIRMAR: (1) nota previa para recuperar una troncal en verano: Plan 2024 = 20, fuente terciaria = 30, comisión propone eliminarla con tutoría obligatoria; se adoptó la propuesta de la comisión; (2) la comisión habla de un límite de "160 horas" y de "80 horas" para troncales en verano; la norma vigente (Plan 2024) y la fuente terciaria dicen 80 horas, que es lo que se usó; (3) la comisión propone ampliar las mesas de examen a materias prácticas, pero la Res. HCU 352/2021 las limita a materias teóricas; no se incluyó y solo se dejaron los seminarios previos.</t>
        </is>
      </c>
      <c r="J75" s="6" t="n">
        <v>1</v>
      </c>
      <c r="K75" s="24" t="inlineStr">
        <is>
          <t>Art. 16 del Reglamento del Régimen Estudiantil de la Universidad Boliviana (régimen académico: permanencia, traspaso, cambio de carrera, suspensión voluntaria, estudio simultáneo, readmisiones) y definición de readmisión. Fuente: copia del reglamento en faadu.umsa.bo, según los resultados del buscador; no se pudo abrir el PDF. Resaltado en verde.</t>
        </is>
      </c>
    </row>
    <row r="76">
      <c r="A76" s="6" t="inlineStr">
        <is>
          <t>5.4</t>
        </is>
      </c>
      <c r="B76" s="7" t="inlineStr">
        <is>
          <t>Modalidades de graduación</t>
        </is>
      </c>
      <c r="C76" s="8" t="inlineStr">
        <is>
          <t>Jorge Ordoñez Oporto</t>
        </is>
      </c>
      <c r="D76" s="8" t="inlineStr">
        <is>
          <t>Josue Pilco Tito</t>
        </is>
      </c>
      <c r="E76" s="6" t="inlineStr">
        <is>
          <t>Entregado</t>
        </is>
      </c>
      <c r="F76" s="9" t="n">
        <v>46308</v>
      </c>
      <c r="G76" s="6" t="inlineStr">
        <is>
          <t>Word</t>
        </is>
      </c>
      <c r="H76" s="6" t="inlineStr">
        <is>
          <t>Sí</t>
        </is>
      </c>
      <c r="I76" s="24" t="inlineStr">
        <is>
          <t>Fuentes: fuente terciaria (5.4: grados y siete modalidades, base de la propuesta) y comisión (5.4: requisitos y plazos actuales, problemas y propuestas 3.1 a 3.4). DECISIONES Y COHERENCIA POR CONFIRMAR: (1) diplomado como modalidad: 800 h (20 créditos, que da 40 h por crédito, distinto de las 30 h del sistema de créditos) en la fuente terciaria y 400 h en el Plan de Desarrollo; se redactó sin cifra ("según la normativa de postgrado"); (2) examen de grado: la comisión dice 4 convocatorias anuales y sorteo de bolos 1 hora antes; la fuente terciaria dice al menos 3 convocatorias y 24 horas; se usaron 4 convocatorias y 24 horas; (3) proyecto de grado: 40/30/30 (comisión, vigente) frente a 45/30/25 (fuente terciaria); se usó la fuente terciaria; (4) trabajo dirigido: se mantiene 85/15 según la Res. HCU 330/2022; la comisión propone reequilibrarlo sin dar cifras; (5) excelencia: se usaron los 75 puntos de la comisión. SIGLA: el diagnóstico decía PETAEG y la comisión y el Plan 2024 PETAENG; se unificó PETAENG (también en el punto 2). Asignatura del examen técnico: "Presupuesto y Contabilidad Gubernamental" se actualizó al nombre de la malla, "Contabilidad y Presupuestos Gubernamental". La fuente terciaria titula al técnico "Técnico Superior en Contabilidad General"; se usó "Técnico Universitario Superior" (Res. HCU 290/2016).</t>
        </is>
      </c>
      <c r="J76" s="6" t="n">
        <v>1</v>
      </c>
      <c r="K76" s="24" t="n"/>
    </row>
    <row r="77" ht="25.2" customHeight="1">
      <c r="A77" s="3" t="inlineStr">
        <is>
          <t>6.</t>
        </is>
      </c>
      <c r="B77" s="4" t="inlineStr">
        <is>
          <t>Investigación (articulada con los institutos o unidades de investigación relacionados con la carrera/programa)</t>
        </is>
      </c>
      <c r="C77" s="4" t="inlineStr">
        <is>
          <t>Jorge Cespedes Esteves</t>
        </is>
      </c>
      <c r="D77" s="4" t="inlineStr">
        <is>
          <t>Gustavo Adolfo Aguilar Huanca</t>
        </is>
      </c>
      <c r="E77" s="3">
        <f>IF(SUMPRODUCT(($J$78:$J$79=1)*($E$78:$E$79&lt;&gt;"No aplica"))=0,"No aplica",IF(SUMPRODUCT(($J$78:$J$79=1)*($E$78:$E$79="Entregado"))=SUMPRODUCT(($J$78:$J$79=1)*($E$78:$E$79&lt;&gt;"No aplica")),"Completo",IF(SUMPRODUCT(($J$78:$J$79=1)*($E$78:$E$79="Pendiente"))=SUMPRODUCT(($J$78:$J$79=1)*($E$78:$E$79&lt;&gt;"No aplica")),"Pendiente","En proceso")))</f>
        <v/>
      </c>
      <c r="F77" s="3">
        <f>SUMPRODUCT(($J$78:$J$79=1)*($E$78:$E$79="Entregado"))&amp;" de "&amp;SUMPRODUCT(($J$78:$J$79=1)*($E$78:$E$79&lt;&gt;"No aplica"))</f>
        <v/>
      </c>
      <c r="G77" s="3" t="inlineStr">
        <is>
          <t>—</t>
        </is>
      </c>
      <c r="H77" s="3" t="inlineStr">
        <is>
          <t>—</t>
        </is>
      </c>
      <c r="I77" s="5" t="n"/>
      <c r="J77" s="3" t="n">
        <v>0</v>
      </c>
      <c r="K77" s="5" t="n"/>
    </row>
    <row r="78" ht="26.4" customHeight="1">
      <c r="A78" s="6" t="inlineStr">
        <is>
          <t>6.1</t>
        </is>
      </c>
      <c r="B78" s="7" t="inlineStr">
        <is>
          <t>Políticas de investigación</t>
        </is>
      </c>
      <c r="C78" s="8" t="inlineStr">
        <is>
          <t>Jorge Cespedes Esteves</t>
        </is>
      </c>
      <c r="D78" s="8" t="inlineStr">
        <is>
          <t>Gustavo Adolfo Aguilar Huanca</t>
        </is>
      </c>
      <c r="E78" s="6" t="inlineStr">
        <is>
          <t>Entregado</t>
        </is>
      </c>
      <c r="F78" s="9" t="n">
        <v>46308</v>
      </c>
      <c r="G78" s="6" t="inlineStr">
        <is>
          <t>Word</t>
        </is>
      </c>
      <c r="H78" s="6" t="inlineStr">
        <is>
          <t>Sí</t>
        </is>
      </c>
      <c r="I78" s="24" t="inlineStr">
        <is>
          <t>Fuente: comisión (6.1), reorganizada en cuadro y listas. Se agregaron la articulación con el plan (CPA-204, CPA-510, investigación formativa y graduación; base: Plan 2024 "trabajos de aplicación e investigación") y la situación del Instituto y sus metas (diagnóstico 2026 y Plan de Desarrollo). INCOHERENCIA DE LA COMISIÓN: el texto cita la Política de Investigación con la Res. HCU 90/2021, pero la referencia dice 90/2026, y las citas dicen "(UMSA, 2025)" y "(UMSA, 2026)"; se usó 90/2021. VERIFICAR el número y el año. "Emprendedurismo" se cambió por "emprendimiento". El Plan 2024 tenía el 6.1 vacío.</t>
        </is>
      </c>
      <c r="J78" s="6" t="n">
        <v>1</v>
      </c>
      <c r="K78" s="24" t="n"/>
    </row>
    <row r="79" ht="26.4" customHeight="1">
      <c r="A79" s="6" t="inlineStr">
        <is>
          <t>6.2</t>
        </is>
      </c>
      <c r="B79" s="7" t="inlineStr">
        <is>
          <t>Líneas de investigación</t>
        </is>
      </c>
      <c r="C79" s="8" t="inlineStr">
        <is>
          <t>Jorge Cespedes Esteves</t>
        </is>
      </c>
      <c r="D79" s="8" t="inlineStr">
        <is>
          <t>Gustavo Adolfo Aguilar Huanca</t>
        </is>
      </c>
      <c r="E79" s="6" t="inlineStr">
        <is>
          <t>Parcial</t>
        </is>
      </c>
      <c r="F79" s="9" t="n">
        <v>46308</v>
      </c>
      <c r="G79" s="6" t="inlineStr">
        <is>
          <t>Word</t>
        </is>
      </c>
      <c r="H79" s="6" t="inlineStr">
        <is>
          <t>Sí</t>
        </is>
      </c>
      <c r="I79" s="24" t="inlineStr">
        <is>
          <t>Fuentes: comisión (6.2: concepto, Arts. 7 y 8 del Estatuto, principios y metodología de siete etapas) y fuente terciaria (Plan de Desarrollo: cuatro líneas prioritarias del IICCFA, vinculadas aquí con asignaturas de la malla 2027). La comisión no propone líneas concretas: indica que deben ser un producto del rediseño. Se presentan las cuatro líneas del Plan de Desarrollo como prioritarias, con la metodología para formalizarlas. PENDIENTE: validar las líneas y ver si se agregan líneas del núcleo (información financiera, sector público, educación contable), que hoy no figuran. El Plan 2024 tenía el 6.2 vacío. Error de la comisión: la última oración del 6.2 quedó incompleta ("recoge la actualización del manejo del conocimiento").</t>
        </is>
      </c>
      <c r="J79" s="6" t="n">
        <v>1</v>
      </c>
      <c r="K79" s="24" t="n"/>
    </row>
    <row r="80">
      <c r="A80" s="3" t="inlineStr">
        <is>
          <t>7.</t>
        </is>
      </c>
      <c r="B80" s="4" t="inlineStr">
        <is>
          <t>Interacción social y extensión universitaria</t>
        </is>
      </c>
      <c r="C80" s="4" t="inlineStr">
        <is>
          <t>Edith Esther López Mamani</t>
        </is>
      </c>
      <c r="D80" s="4" t="inlineStr">
        <is>
          <t>Analia Calle Mita</t>
        </is>
      </c>
      <c r="E80" s="3">
        <f>IF(SUMPRODUCT(($J$81:$J$82=1)*($E$81:$E$82&lt;&gt;"No aplica"))=0,"No aplica",IF(SUMPRODUCT(($J$81:$J$82=1)*($E$81:$E$82="Entregado"))=SUMPRODUCT(($J$81:$J$82=1)*($E$81:$E$82&lt;&gt;"No aplica")),"Completo",IF(SUMPRODUCT(($J$81:$J$82=1)*($E$81:$E$82="Pendiente"))=SUMPRODUCT(($J$81:$J$82=1)*($E$81:$E$82&lt;&gt;"No aplica")),"Pendiente","En proceso")))</f>
        <v/>
      </c>
      <c r="F80" s="3">
        <f>SUMPRODUCT(($J$81:$J$82=1)*($E$81:$E$82="Entregado"))&amp;" de "&amp;SUMPRODUCT(($J$81:$J$82=1)*($E$81:$E$82&lt;&gt;"No aplica"))</f>
        <v/>
      </c>
      <c r="G80" s="3" t="inlineStr">
        <is>
          <t>—</t>
        </is>
      </c>
      <c r="H80" s="3" t="inlineStr">
        <is>
          <t>—</t>
        </is>
      </c>
      <c r="I80" s="5" t="n"/>
      <c r="J80" s="3" t="n">
        <v>0</v>
      </c>
      <c r="K80" s="5" t="n"/>
    </row>
    <row r="81">
      <c r="A81" s="6" t="inlineStr">
        <is>
          <t>7.1</t>
        </is>
      </c>
      <c r="B81" s="7" t="inlineStr">
        <is>
          <t>Políticas y líneas de interacción social</t>
        </is>
      </c>
      <c r="C81" s="8" t="inlineStr">
        <is>
          <t>Edith Esther López Mamani</t>
        </is>
      </c>
      <c r="D81" s="8" t="inlineStr">
        <is>
          <t>Analia Calle Mita</t>
        </is>
      </c>
      <c r="E81" s="6" t="inlineStr">
        <is>
          <t>Parcial</t>
        </is>
      </c>
      <c r="F81" s="9" t="n">
        <v>46308</v>
      </c>
      <c r="G81" s="6" t="inlineStr">
        <is>
          <t>Word</t>
        </is>
      </c>
      <c r="H81" s="6" t="inlineStr">
        <is>
          <t>Sí</t>
        </is>
      </c>
      <c r="I81" s="24" t="inlineStr">
        <is>
          <t>NO ELABORADO POR LAS SUBCOMISIONES (el Plan 2024 lo tenía vacío). Redactado con: Art. 12 de la Res. HCU 032/2025, Plan de Desarrollo Eje 3 (consultoría social contable, Código IESBA, pasantías, convenios, metas 2030), objetivo f de 2.4, punto 3.3 (84,2 % de informalidad), punto 4.8 y punto 6. Las seis políticas y cinco líneas son una PROPUESTA de redacción para validar. PENDIENTE: carga horaria mínima de interacción social por estudiante y Reglamento de Interacción Social de la Carrera.</t>
        </is>
      </c>
      <c r="J81" s="6" t="n">
        <v>1</v>
      </c>
      <c r="K81" s="24" t="inlineStr">
        <is>
          <t>Primer Congreso de 1988 (denominación "interacción social"), Res. N.º 088/2014 del XII Congreso Nacional de Universidades (reglamentación de Interacción Social y Extensión) y lineamiento del DIPGIS sobre integrar la investigación con la interacción social. Fuente: dipgis.umsa.bo (memoria del Seminario de Extensión Universitaria y página de Interacción Social), según los resultados del buscador; no se pudo abrir el PDF. Resaltado en verde.</t>
        </is>
      </c>
    </row>
    <row r="82">
      <c r="A82" s="6" t="inlineStr">
        <is>
          <t>7.2</t>
        </is>
      </c>
      <c r="B82" s="7" t="inlineStr">
        <is>
          <t>Políticas y líneas de extensión universitaria</t>
        </is>
      </c>
      <c r="C82" s="8" t="inlineStr">
        <is>
          <t>Edith Esther López Mamani</t>
        </is>
      </c>
      <c r="D82" s="8" t="inlineStr">
        <is>
          <t>Analia Calle Mita</t>
        </is>
      </c>
      <c r="E82" s="6" t="inlineStr">
        <is>
          <t>Parcial</t>
        </is>
      </c>
      <c r="F82" s="9" t="n">
        <v>46308</v>
      </c>
      <c r="G82" s="6" t="inlineStr">
        <is>
          <t>Word</t>
        </is>
      </c>
      <c r="H82" s="6" t="inlineStr">
        <is>
          <t>Sí</t>
        </is>
      </c>
      <c r="I82" s="24" t="inlineStr">
        <is>
          <t>NO ELABORADO POR LAS SUBCOMISIONES (el Plan 2024 lo tenía vacío). Redactado con: IES 7 (desarrollo profesional continuo), diagnóstico 9.1 (programas de postgrado vigentes y de 2026, curso de metodología, doctorado), punto 5.4.2 (diplomado como graduación) y punto 7.1 (plataforma virtual). Las políticas y líneas son una PROPUESTA para validar.</t>
        </is>
      </c>
      <c r="J82" s="6" t="n">
        <v>1</v>
      </c>
      <c r="K82" s="24" t="inlineStr">
        <is>
          <t>Campus Virtual UMSA-Coursera, Res. HCU 538/2022 (reglamento específico). Fuente: dipgis.umsa.bo, según los resultados del buscador. Resaltado en verde.</t>
        </is>
      </c>
    </row>
    <row r="83">
      <c r="A83" s="3" t="inlineStr">
        <is>
          <t>8.</t>
        </is>
      </c>
      <c r="B83" s="4" t="inlineStr">
        <is>
          <t>Organización del proceso curricular</t>
        </is>
      </c>
      <c r="C83" s="4" t="inlineStr">
        <is>
          <t>Comisión Supra</t>
        </is>
      </c>
      <c r="D83" s="4" t="inlineStr">
        <is>
          <t>Comisión Supra</t>
        </is>
      </c>
      <c r="E83" s="3">
        <f>IF(SUMPRODUCT(($J$84:$J$89=1)*($E$84:$E$89&lt;&gt;"No aplica"))=0,"No aplica",IF(SUMPRODUCT(($J$84:$J$89=1)*($E$84:$E$89="Entregado"))=SUMPRODUCT(($J$84:$J$89=1)*($E$84:$E$89&lt;&gt;"No aplica")),"Completo",IF(SUMPRODUCT(($J$84:$J$89=1)*($E$84:$E$89="Pendiente"))=SUMPRODUCT(($J$84:$J$89=1)*($E$84:$E$89&lt;&gt;"No aplica")),"Pendiente","En proceso")))</f>
        <v/>
      </c>
      <c r="F83" s="3">
        <f>SUMPRODUCT(($J$84:$J$89=1)*($E$84:$E$89="Entregado"))&amp;" de "&amp;SUMPRODUCT(($J$84:$J$89=1)*($E$84:$E$89&lt;&gt;"No aplica"))</f>
        <v/>
      </c>
      <c r="G83" s="3" t="inlineStr">
        <is>
          <t>—</t>
        </is>
      </c>
      <c r="H83" s="3" t="inlineStr">
        <is>
          <t>—</t>
        </is>
      </c>
      <c r="I83" s="5" t="n"/>
      <c r="J83" s="3" t="n">
        <v>0</v>
      </c>
      <c r="K83" s="5" t="n"/>
    </row>
    <row r="84">
      <c r="A84" s="6" t="inlineStr">
        <is>
          <t>8.1</t>
        </is>
      </c>
      <c r="B84" s="7" t="inlineStr">
        <is>
          <t>Número de semanas lectivas por semestre/año</t>
        </is>
      </c>
      <c r="C84" s="8" t="inlineStr">
        <is>
          <t>Comisión Supra</t>
        </is>
      </c>
      <c r="D84" s="8" t="inlineStr">
        <is>
          <t>Comisión Supra</t>
        </is>
      </c>
      <c r="E84" s="6" t="inlineStr">
        <is>
          <t>Entregado</t>
        </is>
      </c>
      <c r="F84" s="9" t="n">
        <v>46308</v>
      </c>
      <c r="G84" s="6" t="inlineStr">
        <is>
          <t>Word</t>
        </is>
      </c>
      <c r="H84" s="6" t="inlineStr">
        <is>
          <t>Sí</t>
        </is>
      </c>
      <c r="I84" s="24" t="inlineStr">
        <is>
          <t>NO ELABORADO POR LAS SUBCOMISIONES. Fuente: Plan 2024 (5.1: 40 semanas en 10 meses) y fuente terciaria (40 semanas lectivas). Se agregaron las 200 semanas del plan y la referencia a los cursos de temporada.</t>
        </is>
      </c>
      <c r="J84" s="6" t="n">
        <v>1</v>
      </c>
      <c r="K84" s="24" t="n"/>
    </row>
    <row r="85">
      <c r="A85" s="6" t="inlineStr">
        <is>
          <t>8.2</t>
        </is>
      </c>
      <c r="B85" s="7" t="inlineStr">
        <is>
          <t>Número de horas cronológicas por semana</t>
        </is>
      </c>
      <c r="C85" s="8" t="inlineStr">
        <is>
          <t>Comisión Supra</t>
        </is>
      </c>
      <c r="D85" s="8" t="inlineStr">
        <is>
          <t>Comisión Supra</t>
        </is>
      </c>
      <c r="E85" s="6" t="inlineStr">
        <is>
          <t>Entregado</t>
        </is>
      </c>
      <c r="F85" s="9" t="n">
        <v>46308</v>
      </c>
      <c r="G85" s="6" t="inlineStr">
        <is>
          <t>Word</t>
        </is>
      </c>
      <c r="H85" s="6" t="inlineStr">
        <is>
          <t>Sí</t>
        </is>
      </c>
      <c r="I85" s="24" t="inlineStr">
        <is>
          <t>NO ELABORADO POR LAS SUBCOMISIONES. El Plan 2024 decía "30 horas académicas por semana" para todos los años (6 h diarias de lunes a sábado), pero su propia malla tiene 26, 30, 32, 32 y 30 h. Se presentan las horas reales por año, convertidas a horas cronológicas (×0,75) y con su equivalente no presencial (método del punto 4.3.5). El título del índice pide horas cronológicas; el Plan 2024 daba horas académicas.</t>
        </is>
      </c>
      <c r="J85" s="6" t="n">
        <v>1</v>
      </c>
      <c r="K85" s="24" t="n"/>
    </row>
    <row r="86">
      <c r="A86" s="6" t="inlineStr">
        <is>
          <t>8.3</t>
        </is>
      </c>
      <c r="B86" s="7" t="inlineStr">
        <is>
          <t>Total de horas planificadas</t>
        </is>
      </c>
      <c r="C86" s="8" t="inlineStr">
        <is>
          <t>Comisión Supra</t>
        </is>
      </c>
      <c r="D86" s="8" t="inlineStr">
        <is>
          <t>Comisión Supra</t>
        </is>
      </c>
      <c r="E86" s="6" t="inlineStr">
        <is>
          <t>Entregado</t>
        </is>
      </c>
      <c r="F86" s="9" t="n">
        <v>46308</v>
      </c>
      <c r="G86" s="6" t="inlineStr">
        <is>
          <t>Word</t>
        </is>
      </c>
      <c r="H86" s="6" t="inlineStr">
        <is>
          <t>Sí</t>
        </is>
      </c>
      <c r="I86" s="24" t="inlineStr">
        <is>
          <t>NO ELABORADO POR LAS SUBCOMISIONES. Fuente: Plan 2024 (5.3) y malla 2027. CORREGIDO: el Plan 2024 decía "como mínimo 6.000 horas"; el Art. 28 del Reglamento General de Títulos y Grados fija 6.000 como máximo (así lo dicen el diagnóstico y la comisión). Se agregaron las horas cronológicas presenciales, no presenciales y de trabajo.</t>
        </is>
      </c>
      <c r="J86" s="6" t="n">
        <v>1</v>
      </c>
      <c r="K86" s="24" t="n"/>
    </row>
    <row r="87" ht="26.4" customHeight="1">
      <c r="A87" s="6" t="inlineStr">
        <is>
          <t>8.4</t>
        </is>
      </c>
      <c r="B87" s="7" t="inlineStr">
        <is>
          <t>Carga horaria cronológica en actividades de investigación</t>
        </is>
      </c>
      <c r="C87" s="8" t="inlineStr">
        <is>
          <t>Comisión Supra</t>
        </is>
      </c>
      <c r="D87" s="8" t="inlineStr">
        <is>
          <t>Comisión Supra</t>
        </is>
      </c>
      <c r="E87" s="6" t="inlineStr">
        <is>
          <t>Entregado</t>
        </is>
      </c>
      <c r="F87" s="9" t="n">
        <v>46308</v>
      </c>
      <c r="G87" s="6" t="inlineStr">
        <is>
          <t>Word</t>
        </is>
      </c>
      <c r="H87" s="6" t="inlineStr">
        <is>
          <t>Sí</t>
        </is>
      </c>
      <c r="I87" s="24" t="inlineStr">
        <is>
          <t>NO ELABORADO POR LAS SUBCOMISIONES (el Plan 2024 lo tenía vacío). Calculado con la malla 2027: CPA-204 y CPA-510 = 240 h de trabajo (8 créditos); la investigación formativa en las demás asignaturas se define en cada plan de asignatura; 320 h/mes del Instituto (diagnóstico).</t>
        </is>
      </c>
      <c r="J87" s="6" t="n">
        <v>1</v>
      </c>
      <c r="K87" s="24" t="n"/>
    </row>
    <row r="88">
      <c r="A88" s="6" t="inlineStr">
        <is>
          <t>8.5</t>
        </is>
      </c>
      <c r="B88" s="7" t="inlineStr">
        <is>
          <t>Sistema de créditos</t>
        </is>
      </c>
      <c r="C88" s="8" t="inlineStr">
        <is>
          <t>Comisión Supra</t>
        </is>
      </c>
      <c r="D88" s="8" t="inlineStr">
        <is>
          <t>Comisión Supra</t>
        </is>
      </c>
      <c r="E88" s="6" t="inlineStr">
        <is>
          <t>Entregado</t>
        </is>
      </c>
      <c r="F88" s="9" t="n">
        <v>46308</v>
      </c>
      <c r="G88" s="6" t="inlineStr">
        <is>
          <t>Word</t>
        </is>
      </c>
      <c r="H88" s="6" t="inlineStr">
        <is>
          <t>Sí</t>
        </is>
      </c>
      <c r="I88" s="24" t="inlineStr">
        <is>
          <t>NO ELABORADO POR LAS SUBCOMISIONES. Fuentes: Plan 2024 (5.5: 300 créditos), comisión 4.3.5 (método) y cálculo por asignatura del punto 4.4.3. Créditos por año: 52, 60, 64, 64 y 60 = 300.</t>
        </is>
      </c>
      <c r="J88" s="6" t="n">
        <v>1</v>
      </c>
      <c r="K88" s="24" t="n"/>
    </row>
    <row r="89">
      <c r="A89" s="6" t="inlineStr">
        <is>
          <t>8.6</t>
        </is>
      </c>
      <c r="B89" s="7" t="inlineStr">
        <is>
          <t>Número de estudiantes por asignatura</t>
        </is>
      </c>
      <c r="C89" s="8" t="inlineStr">
        <is>
          <t>Comisión Supra</t>
        </is>
      </c>
      <c r="D89" s="8" t="inlineStr">
        <is>
          <t>Comisión Supra</t>
        </is>
      </c>
      <c r="E89" s="6" t="inlineStr">
        <is>
          <t>Parcial</t>
        </is>
      </c>
      <c r="F89" s="9" t="n">
        <v>46308</v>
      </c>
      <c r="G89" s="6" t="inlineStr">
        <is>
          <t>Word</t>
        </is>
      </c>
      <c r="H89" s="6" t="inlineStr">
        <is>
          <t>Sí</t>
        </is>
      </c>
      <c r="I89" s="24" t="inlineStr">
        <is>
          <t>NO ELABORADO POR LAS SUBCOMISIONES. Fuentes: diagnóstico (Cuadro 11, 2023-2026), comisión del punto 3 (escenarios de 80 y 60 estudiantes por paralelo, recalculados con 2026: 302 y 402 paralelos) y diagnóstico 7.1 (laboratorios de 70 y 39 equipos). El Art. 12 exige un mínimo y un máximo: los máximos son una PROPUESTA basada en la comisión y el mínimo se remite a la reglamentación universitaria. PENDIENTE: fijar el número mínimo para abrir un paralelo.
Nota posterior (punto 10.7): el inventario de la comisión registra 20 puestos completos en el laboratorio del Monoblock (39 según el diagnóstico); si se confirma, actualizar la cifra de este punto.
ACTUALIZADO: "70 y 39 equipos" se cambió por "capacidad para 70 y 36 estudiantes", porque la cifra de 39 equipos no se sostiene con los relevamientos de las comisiones de los puntos 10 y 15.</t>
        </is>
      </c>
      <c r="J89" s="6" t="n">
        <v>1</v>
      </c>
      <c r="K89" s="24" t="n"/>
    </row>
    <row r="90">
      <c r="A90" s="3" t="inlineStr">
        <is>
          <t>9.</t>
        </is>
      </c>
      <c r="B90" s="4" t="inlineStr">
        <is>
          <t>Material Bibliográfico</t>
        </is>
      </c>
      <c r="C90" s="4" t="inlineStr">
        <is>
          <t>Demetrio Ancalle Choque</t>
        </is>
      </c>
      <c r="D90" s="4" t="inlineStr">
        <is>
          <t>Wendy Callizaya Pocoaca</t>
        </is>
      </c>
      <c r="E90" s="3">
        <f>IF(SUMPRODUCT(($J$91:$J$94=1)*($E$91:$E$94&lt;&gt;"No aplica"))=0,"No aplica",IF(SUMPRODUCT(($J$91:$J$94=1)*($E$91:$E$94="Entregado"))=SUMPRODUCT(($J$91:$J$94=1)*($E$91:$E$94&lt;&gt;"No aplica")),"Completo",IF(SUMPRODUCT(($J$91:$J$94=1)*($E$91:$E$94="Pendiente"))=SUMPRODUCT(($J$91:$J$94=1)*($E$91:$E$94&lt;&gt;"No aplica")),"Pendiente","En proceso")))</f>
        <v/>
      </c>
      <c r="F90" s="26">
        <f>SUMPRODUCT(($J$91:$J$94=1)*($E$91:$E$94="Entregado"))&amp;" de "&amp;SUMPRODUCT(($J$91:$J$94=1)*($E$91:$E$94&lt;&gt;"No aplica"))</f>
        <v/>
      </c>
      <c r="G90" s="3" t="inlineStr">
        <is>
          <t>Word</t>
        </is>
      </c>
      <c r="H90" s="3" t="inlineStr">
        <is>
          <t>Sí</t>
        </is>
      </c>
      <c r="I90" s="27" t="inlineStr">
        <is>
          <t>Archivos: "9. Material bibliográfico.docx" y "9. Anexo. Listado bibliográfico.docx" (158 páginas). Fuentes: comisión (listado del catálogo KOHA por asignatura y de trabajos de grado), diagnóstico 2026 (acervo, biblioteca, bases de datos) y Plan 2024 (9.2 y 9.3). La comisión solo entregó el listado del 9.1, sin análisis ni los puntos 9.2 a 9.4; el análisis de suficiencia se elaboró aquí. El listado de la comisión usa siglas y nombres del Plan 2013; se trasladó a la malla 2027 según la tabla de convalidación de la fuente terciaria (punto 16).</t>
        </is>
      </c>
      <c r="J90" s="3" t="n">
        <v>0</v>
      </c>
      <c r="K90" s="27" t="n"/>
    </row>
    <row r="91" ht="26.4" customHeight="1">
      <c r="A91" s="6" t="inlineStr">
        <is>
          <t>9.1</t>
        </is>
      </c>
      <c r="B91" s="7" t="inlineStr">
        <is>
          <t>Textos físicos y digitales (suficiencia cuantitativa y cualitativa)</t>
        </is>
      </c>
      <c r="C91" s="8" t="inlineStr">
        <is>
          <t>Demetrio Ancalle Choque</t>
        </is>
      </c>
      <c r="D91" s="8" t="inlineStr">
        <is>
          <t>Wendy Callizaya Pocoaca</t>
        </is>
      </c>
      <c r="E91" s="6" t="inlineStr">
        <is>
          <t>Entregado</t>
        </is>
      </c>
      <c r="F91" s="9" t="n">
        <v>46308</v>
      </c>
      <c r="G91" s="6" t="inlineStr">
        <is>
          <t>Word</t>
        </is>
      </c>
      <c r="H91" s="6" t="inlineStr">
        <is>
          <t>Sí</t>
        </is>
      </c>
      <c r="I91" s="24" t="inlineStr">
        <is>
          <t>Fuentes: comisión (listado), diagnóstico 2026 y Plan 2024. Análisis propio: 3.108 ejemplares asignados, 948 títulos distintos, solo 458 ejemplares (14,7 %) editados desde 2015; 22 asignaturas con bibliografía actualizada, 14 por actualizar y 7 desactualizadas; CPA-305 ERP solo tiene 2 ejemplares (1974 y 1985). Criterio de vigencia definido aquí (≥5 ejemplares desde 2015 y edición ≥2020): VALIDAR. ERRORES Y DIFERENCIAS: (1) los listados de CPA-407 Auditoría Financiera y CPA-502 Gabinete de Auditoría Financiera de la comisión son idénticos, posible copia; (2) el diagnóstico dice 87 tesis, 668 proyectos y 1.530 trabajos dirigidos, y el catálogo 63, 619 y 1.710; (3) el diagnóstico menciona "1.951 memorias", cifra que no cuadra con ninguna otra y se omitió; (4) libros: 6.173 en el diagnóstico frente a 5.702 en el Plan 2024. Los títulos del catálogo de trabajos de grado vienen truncados por KOHA (por ejemplo "La evidencia") y se transcriben tal cual en el anexo. Se propone una política de actualización bibliográfica (9.1.4) que no estaba en ninguna fuente.</t>
        </is>
      </c>
      <c r="J91" s="6" t="n">
        <v>1</v>
      </c>
      <c r="K91" s="24" t="n"/>
    </row>
    <row r="92" ht="26.4" customHeight="1">
      <c r="A92" s="6" t="inlineStr">
        <is>
          <t>9.2</t>
        </is>
      </c>
      <c r="B92" s="7" t="inlineStr">
        <is>
          <t>Suscripción a revistas de reconocido prestigio especializado</t>
        </is>
      </c>
      <c r="C92" s="8" t="inlineStr">
        <is>
          <t>Demetrio Ancalle Choque</t>
        </is>
      </c>
      <c r="D92" s="8" t="inlineStr">
        <is>
          <t>Wendy Callizaya Pocoaca</t>
        </is>
      </c>
      <c r="E92" s="6" t="inlineStr">
        <is>
          <t>Entregado</t>
        </is>
      </c>
      <c r="F92" s="9" t="n">
        <v>46308</v>
      </c>
      <c r="G92" s="6" t="inlineStr">
        <is>
          <t>Word</t>
        </is>
      </c>
      <c r="H92" s="6" t="inlineStr">
        <is>
          <t>Sí</t>
        </is>
      </c>
      <c r="I92" s="24" t="inlineStr">
        <is>
          <t>Fuente: Plan 2024 (sin suscripciones; acceso libre a IFAC, Fundación IFRS e IIA), completado con normativa nacional y una recomendación de revistas de acceso abierto. La comisión no trabajó este punto.</t>
        </is>
      </c>
      <c r="J92" s="6" t="n">
        <v>1</v>
      </c>
      <c r="K92" s="24" t="inlineStr">
        <is>
          <t>Registro gratuito en la Fundación IFRS: normas emitidas del año, CINIIF, Marco Conceptual y traducciones (sin ejemplos ni fundamentos, que son de pago) (ifrs.org). Descarga gratuita de los manuales del IAASB, IESBA e IAESB. Revistas de acceso abierto sugeridas: Contaduría y Administración (UNAM), Cuadernos de Contabilidad (Javeriana), Contaduría Universidad de Antioquia, Revista de Contabilidad - Spanish Accounting Review.</t>
        </is>
      </c>
    </row>
    <row r="93" ht="26.4" customHeight="1">
      <c r="A93" s="6" t="inlineStr">
        <is>
          <t>9.3</t>
        </is>
      </c>
      <c r="B93" s="7" t="inlineStr">
        <is>
          <t>Conexión a sistemas de información nacional o internacional</t>
        </is>
      </c>
      <c r="C93" s="8" t="inlineStr">
        <is>
          <t>Maria del Carmen Pinell Varcarcel</t>
        </is>
      </c>
      <c r="D93" s="8" t="inlineStr">
        <is>
          <t>Alex Jesus Huanca Uscamayta</t>
        </is>
      </c>
      <c r="E93" s="6" t="inlineStr">
        <is>
          <t>Entregado</t>
        </is>
      </c>
      <c r="F93" s="9" t="n">
        <v>46308</v>
      </c>
      <c r="G93" s="6" t="inlineStr">
        <is>
          <t>Word</t>
        </is>
      </c>
      <c r="H93" s="6" t="inlineStr">
        <is>
          <t>Sí</t>
        </is>
      </c>
      <c r="I93" s="24" t="inlineStr">
        <is>
          <t>Fuentes: Plan 2024 (KOHA desde 2008, biométrico, PERI con EBSCO, Cambridge, Emerald, Oxford, Palgrave, Springer, Royal Society, Chicago, Wiley; HINARI) y diagnóstico 2026 (repositorio UMSA, Research4Life, SciELO, Scopus, Dialnet). VERIFICAR con la Biblioteca Central si sigue vigente el acceso a los recursos del programa PERI (dato de 2024). La comisión no trabajó este punto.</t>
        </is>
      </c>
      <c r="J93" s="6" t="n">
        <v>1</v>
      </c>
      <c r="K93" s="24" t="inlineStr">
        <is>
          <t>HINARI forma parte de Research4Life. Scopus: especificación técnica de contratación del DIPGIS-UMSA (2023), orientada a docentes e investigadores (dipgis.umsa.bo); no se confirmó el acceso de estudiantes.</t>
        </is>
      </c>
    </row>
    <row r="94" ht="26.4" customHeight="1">
      <c r="A94" s="6" t="inlineStr">
        <is>
          <t>9.4</t>
        </is>
      </c>
      <c r="B94" s="7" t="inlineStr">
        <is>
          <t>Internet, sistema de red o wifi</t>
        </is>
      </c>
      <c r="C94" s="8" t="inlineStr">
        <is>
          <t>Maria del Carmen Pinell Varcarcel</t>
        </is>
      </c>
      <c r="D94" s="8" t="inlineStr">
        <is>
          <t>Alex Jesus Huanca Uscamayta</t>
        </is>
      </c>
      <c r="E94" s="6" t="inlineStr">
        <is>
          <t>Entregado</t>
        </is>
      </c>
      <c r="F94" s="9" t="n">
        <v>46308</v>
      </c>
      <c r="G94" s="6" t="inlineStr">
        <is>
          <t>Word</t>
        </is>
      </c>
      <c r="H94" s="6" t="inlineStr">
        <is>
          <t>Sí</t>
        </is>
      </c>
      <c r="I94" s="24" t="inlineStr">
        <is>
          <t>Fuentes: comisión punto 10 (dos salidas de internet, 385 Mbps Montes y 165 Mbps Monoblock, wifi para estudiantes, docentes y administrativos) y diagnóstico 2026 (gabinete de red en el Centro de Cómputo, Av. Villazón; pool de servidores con respaldo de energía). Ni la comisión ni el Plan 2024 desarrollaron el 9.4.</t>
        </is>
      </c>
      <c r="J94" s="6" t="n">
        <v>1</v>
      </c>
      <c r="K94" s="24" t="n"/>
    </row>
    <row r="95">
      <c r="A95" s="3" t="inlineStr">
        <is>
          <t>10.</t>
        </is>
      </c>
      <c r="B95" s="4" t="inlineStr">
        <is>
          <t>Recursos educativos</t>
        </is>
      </c>
      <c r="C95" s="4" t="inlineStr">
        <is>
          <t>Miguel Cotaña Mier</t>
        </is>
      </c>
      <c r="D95" s="4" t="inlineStr">
        <is>
          <t>Camila Lampa Choque</t>
        </is>
      </c>
      <c r="E95" s="3">
        <f>IF(SUMPRODUCT(($J$96:$J$107=1)*($E$96:$E$107&lt;&gt;"No aplica"))=0,"No aplica",IF(SUMPRODUCT(($J$96:$J$107=1)*($E$96:$E$107="Entregado"))=SUMPRODUCT(($J$96:$J$107=1)*($E$96:$E$107&lt;&gt;"No aplica")),"Completo",IF(SUMPRODUCT(($J$96:$J$107=1)*($E$96:$E$107="Pendiente"))=SUMPRODUCT(($J$96:$J$107=1)*($E$96:$E$107&lt;&gt;"No aplica")),"Pendiente","En proceso")))</f>
        <v/>
      </c>
      <c r="F95" s="26">
        <f>SUMPRODUCT(($J$96:$J$107=1)*($E$96:$E$107="Entregado"))&amp;" de "&amp;SUMPRODUCT(($J$96:$J$107=1)*($E$96:$E$107&lt;&gt;"No aplica"))</f>
        <v/>
      </c>
      <c r="G95" s="3" t="inlineStr">
        <is>
          <t>Word</t>
        </is>
      </c>
      <c r="H95" s="3" t="inlineStr">
        <is>
          <t>Sí</t>
        </is>
      </c>
      <c r="I95" s="27" t="inlineStr">
        <is>
          <t>Archivo: "10. Recursos educativos.docx". Fuentes: comisión (base principal, con fotografías y capturas), Plan 2024 y diagnóstico 2026. Se eliminó la duplicación de la comisión, que repetía el texto de computadoras en red en 10.2 y 10.10 y el de redes sociales en 10.3 y 10.11. Las capturas se recortaron para quitar la barra del navegador y del sistema operativo. Se agregaron análisis de brechas frente al Plan 2027 (software requerido, capacidad de laboratorios y de la plataforma virtual).</t>
        </is>
      </c>
      <c r="J95" s="3" t="n">
        <v>0</v>
      </c>
      <c r="K95" s="27" t="n"/>
    </row>
    <row r="96">
      <c r="A96" s="6" t="inlineStr">
        <is>
          <t>10.1</t>
        </is>
      </c>
      <c r="B96" s="7" t="inlineStr">
        <is>
          <t>Equipos multimedia</t>
        </is>
      </c>
      <c r="C96" s="8" t="inlineStr">
        <is>
          <t>Miguel Cotaña Mier</t>
        </is>
      </c>
      <c r="D96" s="8" t="inlineStr">
        <is>
          <t>Camila Lampa Choque</t>
        </is>
      </c>
      <c r="E96" s="6" t="inlineStr">
        <is>
          <t>Entregado</t>
        </is>
      </c>
      <c r="F96" s="9" t="n">
        <v>46308</v>
      </c>
      <c r="G96" s="6" t="inlineStr">
        <is>
          <t>Word</t>
        </is>
      </c>
      <c r="H96" s="6" t="inlineStr">
        <is>
          <t>Sí</t>
        </is>
      </c>
      <c r="I96" s="24" t="inlineStr">
        <is>
          <t>Fuentes: comisión y Plan 2024. Se agregó el aula multipropósito (la comisión del punto 11 indica que tiene proyector). DIFERENCIAS: el Plan 2024 registraba un proyector en el auditorio y el equipo portátil con tres micrófonos inalámbricos y un pedestal de mesa, que la comisión ya no menciona; VERIFICAR si se dieron de baja.</t>
        </is>
      </c>
      <c r="J96" s="6" t="n">
        <v>1</v>
      </c>
      <c r="K96" s="24" t="n"/>
    </row>
    <row r="97">
      <c r="A97" s="6" t="inlineStr">
        <is>
          <t>10.2</t>
        </is>
      </c>
      <c r="B97" s="7" t="inlineStr">
        <is>
          <t>Computadora en red</t>
        </is>
      </c>
      <c r="C97" s="8" t="inlineStr">
        <is>
          <t>Miguel Cotaña Mier</t>
        </is>
      </c>
      <c r="D97" s="8" t="inlineStr">
        <is>
          <t>Camila Lampa Choque</t>
        </is>
      </c>
      <c r="E97" s="6" t="inlineStr">
        <is>
          <t>Entregado</t>
        </is>
      </c>
      <c r="F97" s="9" t="n">
        <v>46308</v>
      </c>
      <c r="G97" s="6" t="inlineStr">
        <is>
          <t>Word</t>
        </is>
      </c>
      <c r="H97" s="6" t="inlineStr">
        <is>
          <t>Sí</t>
        </is>
      </c>
      <c r="I97" s="24" t="inlineStr">
        <is>
          <t>Fuente: comisión (dos servidores propios, sistemas alojados, copias semanales, pool del Monoblock). "Contante" se corrigió por "constante".</t>
        </is>
      </c>
      <c r="J97" s="6" t="n">
        <v>1</v>
      </c>
      <c r="K97" s="24" t="n"/>
    </row>
    <row r="98">
      <c r="A98" s="6" t="inlineStr">
        <is>
          <t>10.3</t>
        </is>
      </c>
      <c r="B98" s="7" t="inlineStr">
        <is>
          <t>Software</t>
        </is>
      </c>
      <c r="C98" s="8" t="inlineStr">
        <is>
          <t>Miguel Cotaña Mier</t>
        </is>
      </c>
      <c r="D98" s="8" t="inlineStr">
        <is>
          <t>Camila Lampa Choque</t>
        </is>
      </c>
      <c r="E98" s="6" t="inlineStr">
        <is>
          <t>Entregado</t>
        </is>
      </c>
      <c r="F98" s="9" t="n">
        <v>46308</v>
      </c>
      <c r="G98" s="6" t="inlineStr">
        <is>
          <t>Word</t>
        </is>
      </c>
      <c r="H98" s="6" t="inlineStr">
        <is>
          <t>Sí</t>
        </is>
      </c>
      <c r="I98" s="24" t="inlineStr">
        <is>
          <t>Fuentes: comisión (categorías de software) y comisión punto 11 (software requerido: ERP, ACL/IDEA, Power BI, Tableau, Python). Se agregó el cuadro de brechas entre el software requerido por el Plan 2027 y el disponible.</t>
        </is>
      </c>
      <c r="J98" s="6" t="n">
        <v>1</v>
      </c>
      <c r="K98" s="24" t="n"/>
    </row>
    <row r="99">
      <c r="A99" s="6" t="inlineStr">
        <is>
          <t>10.4</t>
        </is>
      </c>
      <c r="B99" s="7" t="inlineStr">
        <is>
          <t>Laboratorios</t>
        </is>
      </c>
      <c r="C99" s="8" t="inlineStr">
        <is>
          <t>Miguel Cotaña Mier</t>
        </is>
      </c>
      <c r="D99" s="8" t="inlineStr">
        <is>
          <t>Camila Lampa Choque</t>
        </is>
      </c>
      <c r="E99" s="6" t="inlineStr">
        <is>
          <t>Entregado</t>
        </is>
      </c>
      <c r="F99" s="9" t="n">
        <v>46308</v>
      </c>
      <c r="G99" s="6" t="inlineStr">
        <is>
          <t>Word</t>
        </is>
      </c>
      <c r="H99" s="6" t="inlineStr">
        <is>
          <t>Sí</t>
        </is>
      </c>
      <c r="I99" s="24" t="inlineStr">
        <is>
          <t>Fuentes: comisión y Plan 2024. DIFERENCIAS: la sala de computación de Nava Morales tiene 61 m² según la comisión y 93 m² según el Plan 2024 (se usó 61); la sala de servidores y la oficina, 12 m² frente a 16 m². El auditorio (247 m², 220 personas) se incorporó en este cuadro.</t>
        </is>
      </c>
      <c r="J99" s="6" t="n">
        <v>1</v>
      </c>
      <c r="K99" s="24" t="n"/>
    </row>
    <row r="100" ht="26.4" customHeight="1">
      <c r="A100" s="6" t="inlineStr">
        <is>
          <t>10.5</t>
        </is>
      </c>
      <c r="B100" s="7" t="inlineStr">
        <is>
          <t>Material audiovisual</t>
        </is>
      </c>
      <c r="C100" s="8" t="inlineStr">
        <is>
          <t>Freddy Huanca Mamani</t>
        </is>
      </c>
      <c r="D100" s="8" t="inlineStr">
        <is>
          <t>Maria Joaquina Salinas Terceros</t>
        </is>
      </c>
      <c r="E100" s="6" t="inlineStr">
        <is>
          <t>Entregado</t>
        </is>
      </c>
      <c r="F100" s="9" t="n">
        <v>46308</v>
      </c>
      <c r="G100" s="6" t="inlineStr">
        <is>
          <t>Word</t>
        </is>
      </c>
      <c r="H100" s="6" t="inlineStr">
        <is>
          <t>Sí</t>
        </is>
      </c>
      <c r="I100" s="24" t="inlineStr">
        <is>
          <t>Fuente: comisión. ERROR: el pie de la foto del Monoblock decía "laboratorio 4to piso", pero el laboratorio está en planta baja; se corrigió. Las fotos se reubicaron en 10.4.</t>
        </is>
      </c>
      <c r="J100" s="6" t="n">
        <v>1</v>
      </c>
      <c r="K100" s="24" t="n"/>
    </row>
    <row r="101" ht="26.4" customHeight="1">
      <c r="A101" s="6" t="inlineStr">
        <is>
          <t>10.6</t>
        </is>
      </c>
      <c r="B101" s="7" t="inlineStr">
        <is>
          <t>Medios didácticos informáticos</t>
        </is>
      </c>
      <c r="C101" s="8" t="inlineStr">
        <is>
          <t>Freddy Huanca Mamani</t>
        </is>
      </c>
      <c r="D101" s="8" t="inlineStr">
        <is>
          <t>Maria Joaquina Salinas Terceros</t>
        </is>
      </c>
      <c r="E101" s="6" t="inlineStr">
        <is>
          <t>Entregado</t>
        </is>
      </c>
      <c r="F101" s="9" t="n">
        <v>46308</v>
      </c>
      <c r="G101" s="6" t="inlineStr">
        <is>
          <t>Word</t>
        </is>
      </c>
      <c r="H101" s="6" t="inlineStr">
        <is>
          <t>Sí</t>
        </is>
      </c>
      <c r="I101" s="24" t="inlineStr">
        <is>
          <t>Fuente: comisión; se unificaron las dos listas, que eran casi iguales.</t>
        </is>
      </c>
      <c r="J101" s="6" t="n">
        <v>1</v>
      </c>
      <c r="K101" s="24" t="n"/>
    </row>
    <row r="102" ht="26.4" customHeight="1">
      <c r="A102" s="6" t="inlineStr">
        <is>
          <t>10.7</t>
        </is>
      </c>
      <c r="B102" s="7" t="inlineStr">
        <is>
          <t>Soportes físicos</t>
        </is>
      </c>
      <c r="C102" s="8" t="inlineStr">
        <is>
          <t>Freddy Huanca Mamani</t>
        </is>
      </c>
      <c r="D102" s="8" t="inlineStr">
        <is>
          <t>Maria Joaquina Salinas Terceros</t>
        </is>
      </c>
      <c r="E102" s="6" t="inlineStr">
        <is>
          <t>Entregado</t>
        </is>
      </c>
      <c r="F102" s="9" t="n">
        <v>46308</v>
      </c>
      <c r="G102" s="6" t="inlineStr">
        <is>
          <t>Word</t>
        </is>
      </c>
      <c r="H102" s="6" t="inlineStr">
        <is>
          <t>Sí</t>
        </is>
      </c>
      <c r="I102" s="24" t="inlineStr">
        <is>
          <t>Fuente: comisión (inventario de soportes). INCONSISTENCIA: el laboratorio del Monoblock figura con 20 equipos, muebles y sillas en el inventario, 36 de capacidad en el cuadro de ambientes, 39 equipos en el diagnóstico y 36 en el Plan 2024. Se interpretó que hay 20 puestos completos operativos y se planteó su reposición como prioridad; CONCILIAR con el inventario de activos fijos. Si se confirma, conviene ajustar el punto 8.6, que cita 70 y 39 equipos.
ACTUALIZADO con el informe de la comisión del punto 15 (12/10/2026): el laboratorio del Monoblock tiene 27 computadoras, 24 en mal estado, y 6 portátiles, 2 inutilizables, con capacidad para 34 estudiantes (36 en el punto 10). Ya son cuatro cifras distintas: 20, 27, 36 y 39.</t>
        </is>
      </c>
      <c r="J102" s="6" t="n">
        <v>1</v>
      </c>
      <c r="K102" s="24" t="n"/>
    </row>
    <row r="103" ht="26.4" customHeight="1">
      <c r="A103" s="6" t="inlineStr">
        <is>
          <t>10.8</t>
        </is>
      </c>
      <c r="B103" s="7" t="inlineStr">
        <is>
          <t>Programas informáticos educativos</t>
        </is>
      </c>
      <c r="C103" s="8" t="inlineStr">
        <is>
          <t>Freddy Huanca Mamani</t>
        </is>
      </c>
      <c r="D103" s="8" t="inlineStr">
        <is>
          <t>Maria Joaquina Salinas Terceros</t>
        </is>
      </c>
      <c r="E103" s="6" t="inlineStr">
        <is>
          <t>Entregado</t>
        </is>
      </c>
      <c r="F103" s="9" t="n">
        <v>46308</v>
      </c>
      <c r="G103" s="6" t="inlineStr">
        <is>
          <t>Word</t>
        </is>
      </c>
      <c r="H103" s="6" t="inlineStr">
        <is>
          <t>Sí</t>
        </is>
      </c>
      <c r="I103" s="24" t="inlineStr">
        <is>
          <t>Fuente: comisión; se presentó como cuadro comparativo por laboratorio. "Diaw draw.io" se corrigió por "draw.io". Se señaló que el laboratorio del Monoblock (de tercer año en adelante) tiene menos software.</t>
        </is>
      </c>
      <c r="J103" s="6" t="n">
        <v>1</v>
      </c>
      <c r="K103" s="24" t="n"/>
    </row>
    <row r="104" ht="26.4" customHeight="1">
      <c r="A104" s="6" t="inlineStr">
        <is>
          <t>10.9</t>
        </is>
      </c>
      <c r="B104" s="7" t="inlineStr">
        <is>
          <t>Medios interactivos</t>
        </is>
      </c>
      <c r="C104" s="8" t="inlineStr">
        <is>
          <t>Freddy Huanca Mamani</t>
        </is>
      </c>
      <c r="D104" s="8" t="inlineStr">
        <is>
          <t>Maria Joaquina Salinas Terceros</t>
        </is>
      </c>
      <c r="E104" s="6" t="inlineStr">
        <is>
          <t>Entregado</t>
        </is>
      </c>
      <c r="F104" s="9" t="n">
        <v>46308</v>
      </c>
      <c r="G104" s="6" t="inlineStr">
        <is>
          <t>Word</t>
        </is>
      </c>
      <c r="H104" s="6" t="inlineStr">
        <is>
          <t>Sí</t>
        </is>
      </c>
      <c r="I104" s="24" t="inlineStr">
        <is>
          <t>Fuente: comisión (software contable, Power BI, Excel), que solo los listaba; se redactó el punto y se vinculó con el punto 4.6.</t>
        </is>
      </c>
      <c r="J104" s="6" t="n">
        <v>1</v>
      </c>
      <c r="K104" s="24" t="n"/>
    </row>
    <row r="105">
      <c r="A105" s="6" t="inlineStr">
        <is>
          <t>10.10</t>
        </is>
      </c>
      <c r="B105" s="7" t="inlineStr">
        <is>
          <t>Multimedia e internet</t>
        </is>
      </c>
      <c r="C105" s="8" t="inlineStr">
        <is>
          <t>Magna Rosmery Layme Llanos</t>
        </is>
      </c>
      <c r="D105" s="8" t="inlineStr">
        <is>
          <t>Mayumi Evelin Quispe Mamani</t>
        </is>
      </c>
      <c r="E105" s="6" t="inlineStr">
        <is>
          <t>Entregado</t>
        </is>
      </c>
      <c r="F105" s="9" t="n">
        <v>46308</v>
      </c>
      <c r="G105" s="6" t="inlineStr">
        <is>
          <t>Word</t>
        </is>
      </c>
      <c r="H105" s="6" t="inlineStr">
        <is>
          <t>Sí</t>
        </is>
      </c>
      <c r="I105" s="24" t="inlineStr">
        <is>
          <t>Fuente: comisión (internet y captura del sitio web contaduriapublica.umsa.bo).</t>
        </is>
      </c>
      <c r="J105" s="6" t="n">
        <v>1</v>
      </c>
      <c r="K105" s="24" t="n"/>
    </row>
    <row r="106">
      <c r="A106" s="6" t="inlineStr">
        <is>
          <t>10.11</t>
        </is>
      </c>
      <c r="B106" s="7" t="inlineStr">
        <is>
          <t>Servicios telemáticos</t>
        </is>
      </c>
      <c r="C106" s="8" t="inlineStr">
        <is>
          <t>Magna Rosmery Layme Llanos</t>
        </is>
      </c>
      <c r="D106" s="8" t="inlineStr">
        <is>
          <t>Mayumi Evelin Quispe Mamani</t>
        </is>
      </c>
      <c r="E106" s="6" t="inlineStr">
        <is>
          <t>Entregado</t>
        </is>
      </c>
      <c r="F106" s="9" t="n">
        <v>46308</v>
      </c>
      <c r="G106" s="6" t="inlineStr">
        <is>
          <t>Word</t>
        </is>
      </c>
      <c r="H106" s="6" t="inlineStr">
        <is>
          <t>Sí</t>
        </is>
      </c>
      <c r="I106" s="24" t="inlineStr">
        <is>
          <t>Fuente: comisión y sus capturas. ERRORES CORREGIDOS SEGÚN LAS PROPIAS CAPTURAS: TikTok tiene 323 seguidores (el texto decía 232 suscriptores); el canal de WhatsApp, 301 seguidores (el texto decía 284). Se agregó el grupo de Facebook (13,8 mil miembros), que aparecía en una captura sin texto. Seguidores de la página de Facebook (30 mil) y suscriptores de YouTube (761) según la comisión.</t>
        </is>
      </c>
      <c r="J106" s="6" t="n">
        <v>1</v>
      </c>
      <c r="K106" s="24" t="n"/>
    </row>
    <row r="107">
      <c r="A107" s="6" t="inlineStr">
        <is>
          <t>10.12</t>
        </is>
      </c>
      <c r="B107" s="7" t="inlineStr">
        <is>
          <t>Entornos virtuales de enseñanza y aprendizaje</t>
        </is>
      </c>
      <c r="C107" s="8" t="inlineStr">
        <is>
          <t>Magna Rosmery Layme Llanos</t>
        </is>
      </c>
      <c r="D107" s="8" t="inlineStr">
        <is>
          <t>Mayumi Evelin Quispe Mamani</t>
        </is>
      </c>
      <c r="E107" s="6" t="inlineStr">
        <is>
          <t>Entregado</t>
        </is>
      </c>
      <c r="F107" s="9" t="n">
        <v>46308</v>
      </c>
      <c r="G107" s="6" t="inlineStr">
        <is>
          <t>Word</t>
        </is>
      </c>
      <c r="H107" s="6" t="inlineStr">
        <is>
          <t>Sí</t>
        </is>
      </c>
      <c r="I107" s="24" t="inlineStr">
        <is>
          <t>Fuente: comisión (plataforma Moodle de la Carrera y Teams). Se agregó el análisis de capacidad (más de 200 usuarios simultáneos frente a 3.143 inscritos) y la necesidad de un aula virtual por asignatura y paralelo (coherente con los puntos 4.6 y 8).</t>
        </is>
      </c>
      <c r="J107" s="6" t="n">
        <v>1</v>
      </c>
      <c r="K107" s="24" t="inlineStr">
        <is>
          <t>Campus Virtual UMSA-Coursera, Res. HCU 538/2022 (el mismo dato del punto 7).</t>
        </is>
      </c>
    </row>
    <row r="108" ht="25.2" customHeight="1">
      <c r="A108" s="3" t="inlineStr">
        <is>
          <t>11.</t>
        </is>
      </c>
      <c r="B108" s="4" t="inlineStr">
        <is>
          <t>Implementación del proyecto curricular</t>
        </is>
      </c>
      <c r="C108" s="4" t="inlineStr">
        <is>
          <t>Daniel Laura Choque</t>
        </is>
      </c>
      <c r="D108" s="4" t="inlineStr">
        <is>
          <t>Nazareth Samia Espejo Ticonipa</t>
        </is>
      </c>
      <c r="E108" s="3">
        <f>IF(SUMPRODUCT(($J$109:$J$111=1)*($E$109:$E$111&lt;&gt;"No aplica"))=0,"No aplica",IF(SUMPRODUCT(($J$109:$J$111=1)*($E$109:$E$111="Entregado"))=SUMPRODUCT(($J$109:$J$111=1)*($E$109:$E$111&lt;&gt;"No aplica")),"Completo",IF(SUMPRODUCT(($J$109:$J$111=1)*($E$109:$E$111="Pendiente"))=SUMPRODUCT(($J$109:$J$111=1)*($E$109:$E$111&lt;&gt;"No aplica")),"Pendiente","En proceso")))</f>
        <v/>
      </c>
      <c r="F108" s="26">
        <f>SUMPRODUCT(($J$109:$J$111=1)*($E$109:$E$111="Entregado"))&amp;" de "&amp;SUMPRODUCT(($J$109:$J$111=1)*($E$109:$E$111&lt;&gt;"No aplica"))</f>
        <v/>
      </c>
      <c r="G108" s="3" t="inlineStr">
        <is>
          <t>Word</t>
        </is>
      </c>
      <c r="H108" s="3" t="inlineStr">
        <is>
          <t>Sí</t>
        </is>
      </c>
      <c r="I108" s="27" t="inlineStr">
        <is>
          <t>Archivo: "11. Implementación del proyecto curricular.docx". Fuentes: comisión (diagnóstico de infraestructura, RRHH y presupuesto; propuestas por plazo), fuente terciaria (11.2.1 perfil docente por área), diagnóstico 2026 (docentes, personal administrativo, auxiliaturas) y Plan 2024 (aulas). Se incorporaron las condiciones de implementación, las fases y los riesgos que la comisión había puesto en el punto 3 (cuadros 33 a 35), actualizados a 2026 (302 y 402 paralelos, como en el punto 8.6). La comisión repetía dos veces los dos primeros párrafos de la introducción y usaba prosa con rastros de IA; se depuró.</t>
        </is>
      </c>
      <c r="J108" s="3" t="n">
        <v>0</v>
      </c>
      <c r="K108" s="27" t="n"/>
    </row>
    <row r="109" ht="26.4" customHeight="1">
      <c r="A109" s="6" t="inlineStr">
        <is>
          <t>11.1</t>
        </is>
      </c>
      <c r="B109" s="7" t="inlineStr">
        <is>
          <t>Infraestructura, equipamiento y sistemas de soporte informático</t>
        </is>
      </c>
      <c r="C109" s="8" t="inlineStr">
        <is>
          <t>Daniel Laura Choque</t>
        </is>
      </c>
      <c r="D109" s="8" t="inlineStr">
        <is>
          <t>Nazareth Samia Espejo Ticonipa</t>
        </is>
      </c>
      <c r="E109" s="6" t="inlineStr">
        <is>
          <t>Entregado</t>
        </is>
      </c>
      <c r="F109" s="9" t="n">
        <v>46308</v>
      </c>
      <c r="G109" s="6" t="inlineStr">
        <is>
          <t>Word</t>
        </is>
      </c>
      <c r="H109" s="6" t="inlineStr">
        <is>
          <t>Sí</t>
        </is>
      </c>
      <c r="I109" s="24" t="inlineStr">
        <is>
          <t>Fuentes: comisión y diagnóstico 2026. ERRORES DE LA COMISIÓN: (1) dice que los inscritos "se incrementaron en 378 alumnos, 13,32 %", pero pasaron de 3.152 a 3.143 (-0,29 %); (2) matriculados 2022 y 2023 = 4.545 y 4.644, frente a 4.546 y 4.447 en el diagnóstico (se usó el diagnóstico, como en el punto 2); (3) remite a los "Cuadros 9 y 10" cuando son el 1 y el 2. Se agregó el cálculo de m² por estudiante (0,63 a 0,87 en las aulas de Nava Morales) y un cuadro único de requerimientos por plazo.
ACTUALIZADO (cuadro 5): ahora dice "36 en el Monoblock Central, donde 24 de las 27 computadoras están en mal estado", según el informe del punto 15.</t>
        </is>
      </c>
      <c r="J109" s="6" t="n">
        <v>1</v>
      </c>
      <c r="K109" s="24" t="n"/>
    </row>
    <row r="110" ht="26.4" customHeight="1">
      <c r="A110" s="6" t="inlineStr">
        <is>
          <t>11.2</t>
        </is>
      </c>
      <c r="B110" s="7" t="inlineStr">
        <is>
          <t>Recursos humanos</t>
        </is>
      </c>
      <c r="C110" s="8" t="inlineStr">
        <is>
          <t>Guido Rogelio Yujra Segales</t>
        </is>
      </c>
      <c r="D110" s="8" t="inlineStr">
        <is>
          <t>Maya Jazmin Manzaneda Flores</t>
        </is>
      </c>
      <c r="E110" s="6" t="inlineStr">
        <is>
          <t>Entregado</t>
        </is>
      </c>
      <c r="F110" s="9" t="n">
        <v>46308</v>
      </c>
      <c r="G110" s="6" t="inlineStr">
        <is>
          <t>Word</t>
        </is>
      </c>
      <c r="H110" s="6" t="inlineStr">
        <is>
          <t>Sí</t>
        </is>
      </c>
      <c r="I110" s="24" t="inlineStr">
        <is>
          <t>Fuentes: diagnóstico 2026 (183 designaciones, 85 titulares, 98 interinos, 108 cargas, 2 de tiempo completo; 79 auxiliaturas; 23 administrativos), fuente terciaria (requisitos generales y por área, mecanismos de selección y capacitación) y comisión (propuestas). El Plan 2024 traía datos de 2024 (201 docentes, 11 de tiempo completo) que se reemplazaron por los del diagnóstico. CORRECCIONES A LA FUENTE TERCIARIA: exigía el título de "Auditor Financiero / Contador Público Autorizado"; se redactó como "Contador Público Autorizado o Auditor Financiero" (CPA desde la Res. HCU 438/2012). "Universidad Bolivia" y "Provisional Nacional" se corrigieron. VERIFICAR: la cita del "Reglamento de Acreditación de la UMSA, Res. HCU 443/2025" se omitió por no poder confirmarse; confirmar también la exigencia del 51 % de docentes con postgrado. El área "Atestación y no Atestación" se renombró "Servicios de Aseguramiento", como en la malla 2027.</t>
        </is>
      </c>
      <c r="J110" s="6" t="n">
        <v>1</v>
      </c>
      <c r="K110" s="24" t="n"/>
    </row>
    <row r="111" ht="26.4" customHeight="1">
      <c r="A111" s="6" t="inlineStr">
        <is>
          <t>11.3</t>
        </is>
      </c>
      <c r="B111" s="7" t="inlineStr">
        <is>
          <t>Política presupuestaria y financiera</t>
        </is>
      </c>
      <c r="C111" s="8" t="inlineStr">
        <is>
          <t>Guido Rogelio Yujra Segales</t>
        </is>
      </c>
      <c r="D111" s="8" t="inlineStr">
        <is>
          <t>Maya Jazmin Manzaneda Flores</t>
        </is>
      </c>
      <c r="E111" s="6" t="inlineStr">
        <is>
          <t>Entregado</t>
        </is>
      </c>
      <c r="F111" s="9" t="n">
        <v>46308</v>
      </c>
      <c r="G111" s="6" t="inlineStr">
        <is>
          <t>Word</t>
        </is>
      </c>
      <c r="H111" s="6" t="inlineStr">
        <is>
          <t>Sí</t>
        </is>
      </c>
      <c r="I111" s="24" t="inlineStr">
        <is>
          <t>Fuente: comisión (ejecución presupuestaria 2020-2026 y propuestas). ERRORES DE LA COMISIÓN: (1) el análisis habla de ejecuciones del "31 %, 50 % y 54 %", pero según su propio cuadro la ejecución osciló entre 49,5 % y 76,3 % (promedio 63,6 % en 2020-2025); se recalculó con un decimal; (2) los montos mezclaban coma y punto como separador de miles. Se aclaró que 2026 es una gestión en curso. Las 17 propuestas de la comisión se condensaron en lineamientos, fuentes de financiamiento y fases; se eliminaron las redundantes (comité paritario, portal, audiencias y buzón de veeduría se fusionaron en un solo lineamiento de seguimiento y rendición de cuentas). VERIFICAR la fecha de corte de la ejecución 2026.</t>
        </is>
      </c>
      <c r="J111" s="6" t="n">
        <v>1</v>
      </c>
      <c r="K111" s="24" t="n"/>
    </row>
    <row r="112">
      <c r="A112" s="3" t="inlineStr">
        <is>
          <t>12.</t>
        </is>
      </c>
      <c r="B112" s="4" t="inlineStr">
        <is>
          <t>Evaluación Curricular</t>
        </is>
      </c>
      <c r="C112" s="4" t="inlineStr">
        <is>
          <t>Luis Enrique Hinojosa Rodríguez</t>
        </is>
      </c>
      <c r="D112" s="4" t="inlineStr">
        <is>
          <t>Camila Nicol Zuñiga Estrada</t>
        </is>
      </c>
      <c r="E112" s="3">
        <f>IF(SUMPRODUCT(($J$113:$J$114=1)*($E$113:$E$114&lt;&gt;"No aplica"))=0,"No aplica",IF(SUMPRODUCT(($J$113:$J$114=1)*($E$113:$E$114="Entregado"))=SUMPRODUCT(($J$113:$J$114=1)*($E$113:$E$114&lt;&gt;"No aplica")),"Completo",IF(SUMPRODUCT(($J$113:$J$114=1)*($E$113:$E$114="Pendiente"))=SUMPRODUCT(($J$113:$J$114=1)*($E$113:$E$114&lt;&gt;"No aplica")),"Pendiente","En proceso")))</f>
        <v/>
      </c>
      <c r="F112" s="26">
        <f>SUMPRODUCT(($J$113:$J$114=1)*($E$113:$E$114="Entregado"))&amp;" de "&amp;SUMPRODUCT(($J$113:$J$114=1)*($E$113:$E$114&lt;&gt;"No aplica"))</f>
        <v/>
      </c>
      <c r="G112" s="3" t="inlineStr">
        <is>
          <t>Word</t>
        </is>
      </c>
      <c r="H112" s="3" t="inlineStr">
        <is>
          <t>Sí</t>
        </is>
      </c>
      <c r="I112" s="27" t="inlineStr">
        <is>
          <t>Archivo: "12. Evaluación curricular.docx". Fuentes: comisión (base principal: marco normativo, modelo CIPP, matriz de indicadores, estudio de seguimiento de Aguirre y Quintanilla 2022, estrategias y referencias), fuente terciaria (12.1.1) y Res. HCU 032/2025 (verificada en el PDF). El Plan 2024 tenía el punto vacío. Se renumeraron los cuadros, se quitaron las URL de las referencias y se corrigieron errores ("se utilizo", "Las cuatro 4 dimensiones", "componen"). Las recomendaciones de la comisión (12.3, fuera del índice) se pasaron al 12.2.5 como disposiciones.</t>
        </is>
      </c>
      <c r="J112" s="3" t="n">
        <v>0</v>
      </c>
      <c r="K112" s="27" t="n"/>
    </row>
    <row r="113">
      <c r="A113" s="6" t="inlineStr">
        <is>
          <t>12.1</t>
        </is>
      </c>
      <c r="B113" s="7" t="inlineStr">
        <is>
          <t>Lineamientos para la evaluación curricular</t>
        </is>
      </c>
      <c r="C113" s="8" t="inlineStr">
        <is>
          <t>Luis Enrique Hinojosa Rodríguez</t>
        </is>
      </c>
      <c r="D113" s="8" t="inlineStr">
        <is>
          <t>Camila Nicol Zuñiga Estrada</t>
        </is>
      </c>
      <c r="E113" s="6" t="inlineStr">
        <is>
          <t>Entregado</t>
        </is>
      </c>
      <c r="F113" s="9" t="n">
        <v>46308</v>
      </c>
      <c r="G113" s="6" t="inlineStr">
        <is>
          <t>Word</t>
        </is>
      </c>
      <c r="H113" s="6" t="inlineStr">
        <is>
          <t>Sí</t>
        </is>
      </c>
      <c r="I113" s="24" t="inlineStr">
        <is>
          <t>Fuentes: comisión, fuente terciaria y Res. HCU 032/2025. CONTRADICCIÓN RESUELTA: la fuente terciaria dice que el Art. 5 de la HCU 032/2025 exige una evaluación de medio término a los 3 años y una revisión integral cada 5 años; según el texto de la resolución, el Art. 5 fija el rediseño cada 7 años, el Art. 6 el ajuste cada 2 años o antes y el Art. 7 la complementación anual. El calendario (Cuadro 3) se armó con esos plazos: informe anual, evaluación de implementación cada 2 años (la primera al cierre de 2028), autoevaluación cada 4, evaluación de resultados con la primera promoción (2031) y rediseño a los 7. Se verificaron contra el estudio de Ipsos las cifras de la comisión: 42 % se siente preparado, 87 % gana hasta Bs 5.000 y 63 % ejerce. El criterio "integralidad" se completó como "integralidad y transversalidad" (Art. 11-VII). VERIFICAR los artículos del Reglamento de Evaluación y Acreditación UMSA 2025 que cita la comisión (Arts. 15, 17, 18, 41); se mencionaron sin número de artículo.</t>
        </is>
      </c>
      <c r="J113" s="6" t="n">
        <v>1</v>
      </c>
      <c r="K113" s="24" t="n"/>
    </row>
    <row r="114" ht="26.4" customHeight="1">
      <c r="A114" s="6" t="inlineStr">
        <is>
          <t>12.2</t>
        </is>
      </c>
      <c r="B114" s="7" t="inlineStr">
        <is>
          <t>Estrategias de seguimiento a titulados</t>
        </is>
      </c>
      <c r="C114" s="8" t="inlineStr">
        <is>
          <t>Humberto Quintanilla Muñoz</t>
        </is>
      </c>
      <c r="D114" s="8" t="inlineStr">
        <is>
          <t>Lizeth Matilde Carvajal Callisaya</t>
        </is>
      </c>
      <c r="E114" s="6" t="inlineStr">
        <is>
          <t>Entregado</t>
        </is>
      </c>
      <c r="F114" s="9" t="n">
        <v>46308</v>
      </c>
      <c r="G114" s="6" t="inlineStr">
        <is>
          <t>Word</t>
        </is>
      </c>
      <c r="H114" s="6" t="inlineStr">
        <is>
          <t>Sí</t>
        </is>
      </c>
      <c r="I114" s="24" t="inlineStr">
        <is>
          <t>Fuente: comisión (seguimiento a titulados 2014-2019, hallazgos, cobertura comparada con Ipsos 2025, nueve estrategias y núcleo de indicadores). Se agregaron los vínculos con el punto 7 (red de titulados) y con la línea base del Plan 2013 antes del Plan 2027. Cifras del diagnóstico verificadas: 1.893 titulados 2021-2025 y 274 en 2025, 69 % por examen de grado.</t>
        </is>
      </c>
      <c r="J114" s="6" t="n">
        <v>1</v>
      </c>
      <c r="K114" s="24" t="n"/>
    </row>
    <row r="115" ht="25.2" customHeight="1">
      <c r="A115" s="3" t="inlineStr">
        <is>
          <t>13.</t>
        </is>
      </c>
      <c r="B115" s="4" t="inlineStr">
        <is>
          <t>Reglamentación</t>
        </is>
      </c>
      <c r="C115" s="4" t="inlineStr">
        <is>
          <t>Esperanza Mejillones Rodriguez</t>
        </is>
      </c>
      <c r="D115" s="4" t="inlineStr">
        <is>
          <t>Camila Andrea Quispe Mollocuaquira</t>
        </is>
      </c>
      <c r="E115" s="3">
        <f>IF(SUMPRODUCT(($J$116:$J$117=1)*($E$116:$E$117&lt;&gt;"No aplica"))=0,"No aplica",IF(SUMPRODUCT(($J$116:$J$117=1)*($E$116:$E$117="Entregado"))=SUMPRODUCT(($J$116:$J$117=1)*($E$116:$E$117&lt;&gt;"No aplica")),"Completo",IF(SUMPRODUCT(($J$116:$J$117=1)*($E$116:$E$117="Pendiente"))=SUMPRODUCT(($J$116:$J$117=1)*($E$116:$E$117&lt;&gt;"No aplica")),"Pendiente","En proceso")))</f>
        <v/>
      </c>
      <c r="F115" s="26">
        <f>SUMPRODUCT(($J$116:$J$117=1)*($E$116:$E$117="Entregado"))&amp;" de "&amp;SUMPRODUCT(($J$116:$J$117=1)*($E$116:$E$117&lt;&gt;"No aplica"))</f>
        <v/>
      </c>
      <c r="G115" s="3" t="inlineStr">
        <is>
          <t>Word</t>
        </is>
      </c>
      <c r="H115" s="3" t="inlineStr">
        <is>
          <t>Sí</t>
        </is>
      </c>
      <c r="I115" s="27" t="inlineStr">
        <is>
          <t>Archivo: "13. Reglamentación.docx". ERROR PRINCIPAL DE LA COMISIÓN: el punto 13 es una copia casi literal del Plan 2024 (solo se renumeraron los títulos); sigue citando el "Plan de Estudios - 2024" y contradice lo aprobado en el punto 5. Se reescribió completo, alineado a los puntos 4.7.5, 4.8, 5, 6, 7, 11 y 12.</t>
        </is>
      </c>
      <c r="J115" s="3" t="n">
        <v>0</v>
      </c>
      <c r="K115" s="27" t="n"/>
    </row>
    <row r="116" ht="26.4" customHeight="1">
      <c r="A116" s="6" t="inlineStr">
        <is>
          <t>13.1</t>
        </is>
      </c>
      <c r="B116" s="7" t="inlineStr">
        <is>
          <t>Reglamentos académicos y administrativos</t>
        </is>
      </c>
      <c r="C116" s="8" t="inlineStr">
        <is>
          <t>Esperanza Mejillones Rodriguez</t>
        </is>
      </c>
      <c r="D116" s="8" t="inlineStr">
        <is>
          <t>Camila Andrea Quispe Mollocuaquira</t>
        </is>
      </c>
      <c r="E116" s="6" t="inlineStr">
        <is>
          <t>Entregado</t>
        </is>
      </c>
      <c r="F116" s="9" t="n">
        <v>46308</v>
      </c>
      <c r="G116" s="6" t="inlineStr">
        <is>
          <t>Word</t>
        </is>
      </c>
      <c r="H116" s="6" t="inlineStr">
        <is>
          <t>Sí</t>
        </is>
      </c>
      <c r="I116" s="24" t="inlineStr">
        <is>
          <t>Fuentes: comisión y Plan 2024 (lista de reglamentos, cursos de temporada, mesas de examen y Reglamento de Modalidades de Graduación de 79 artículos) y punto 5. Se agregaron un cuadro de normativa aplicable y un cuadro de reglamentos internos a actualizar o elaborar (prácticas, interacción social, tutoría, evaluación curricular, laboratorios). El reglamento de graduación se reescribió en 46 artículos. CAMBIOS FRENTE A LA COMISIÓN, PARA COHERENCIA CON EL PUNTO 5: (1) proyecto de grado 45/30/25 (comisión 40/30/30); (2) sorteo de bolos con 24 horas de anticipación (comisión: una hora antes); (3) tres reprobaciones de un ciclo ya no inhabilitan de forma definitiva (diplomado o créditos complementarios); (4) recuperación en curso de temporada sin el umbral de 20 puntos, con tutoría obligatoria; (5) presentación digital y un solo ejemplar empastado (comisión: 7 ejemplares); (6) se agregaron el diplomado, la excelencia, el PETAENG y el examen de técnico superior; (7) se unificó la escala de calificación, que en la comisión tenía tres versiones. ERRORES DE LA COMISIÓN CORREGIDOS: el Art. 73 remitía a los Arts. 42 a 44 (eran el 69 a 71); el Art. 47 remitía al Art. 2 por los requisitos (era el 5); en el trabajo dirigido, el tribunal examinador se formaba con un "tribunal revisor" que esa modalidad no tiene; "Gobierno Corporativo" y "Legislación Tributaria y Aduanera" se cambiaron por los nombres de la malla 2027. Se omitió la cita del "Art. 41 del Reglamento General de Tipos de Modalidad de Graduación del XII Congreso realizado en Oruro": según el diagnóstico, el congreso realizado en Oruro fue el XI (2009), así que el número del congreso o la sede es incorrecto; VERIFICAR el artículo y el congreso.
ACTUALIZADO (Art. 45, Transición): los egresados del Plan 2013 tienen hasta 3 años desde su egreso para graduarse según la reglamentación de ese plan; luego se rigen por el nuevo reglamento o el PETAENG. Así coincide con la disposición transitoria de la fuente terciaria (punto 16).</t>
        </is>
      </c>
      <c r="J116" s="6" t="n">
        <v>1</v>
      </c>
      <c r="K116" s="24" t="inlineStr">
        <is>
          <t>Res. HCU 538/2022, Campus Virtual UMSA-Coursera (el mismo dato de los puntos 7 y 10).</t>
        </is>
      </c>
    </row>
    <row r="117" ht="26.4" customHeight="1">
      <c r="A117" s="6" t="inlineStr">
        <is>
          <t>13.2</t>
        </is>
      </c>
      <c r="B117" s="7" t="inlineStr">
        <is>
          <t>Reglamentación del centro de investigación</t>
        </is>
      </c>
      <c r="C117" s="8" t="inlineStr">
        <is>
          <t>Ausberto Choque</t>
        </is>
      </c>
      <c r="D117" s="8" t="inlineStr">
        <is>
          <t>Herlan Nelson Rodriguez Mendoza</t>
        </is>
      </c>
      <c r="E117" s="6" t="inlineStr">
        <is>
          <t>Entregado</t>
        </is>
      </c>
      <c r="F117" s="9" t="n">
        <v>46308</v>
      </c>
      <c r="G117" s="6" t="inlineStr">
        <is>
          <t>Word</t>
        </is>
      </c>
      <c r="H117" s="6" t="inlineStr">
        <is>
          <t>Sí</t>
        </is>
      </c>
      <c r="I117" s="24" t="inlineStr">
        <is>
          <t>Fuentes: comisión y Plan 2024 (creación del Instituto: RCC 018/2003, RHCF 373/2004, RHCU 457/2004) y punto 6. La comisión solo transcribió las resoluciones de creación y titulaba el apartado "Instituto de Investigación, Interacción Social y Postgrado", nombre que no coincide con el de la RHCU 457/2004 (Instituto de Investigaciones de Ciencias Contables, Financieras y Auditoría); se usó el nombre oficial. Se agregaron los lineamientos del reglamento interno (cuadro 6) y la designación del Director, acéfalo desde 2022.</t>
        </is>
      </c>
      <c r="J117" s="6" t="n">
        <v>1</v>
      </c>
      <c r="K117" s="24" t="n"/>
    </row>
    <row r="118">
      <c r="A118" s="3" t="inlineStr">
        <is>
          <t>14.</t>
        </is>
      </c>
      <c r="B118" s="4" t="inlineStr">
        <is>
          <t>Infraestructura y equipamiento</t>
        </is>
      </c>
      <c r="C118" s="4" t="inlineStr">
        <is>
          <t>Juvenal Espejo</t>
        </is>
      </c>
      <c r="D118" s="4" t="inlineStr">
        <is>
          <t>Ruth Sarai Arriague Gonzales</t>
        </is>
      </c>
      <c r="E118" s="3">
        <f>IF(SUMPRODUCT(($J$119:$J$127=1)*($E$119:$E$127&lt;&gt;"No aplica"))=0,"No aplica",IF(SUMPRODUCT(($J$119:$J$127=1)*($E$119:$E$127="Entregado"))=SUMPRODUCT(($J$119:$J$127=1)*($E$119:$E$127&lt;&gt;"No aplica")),"Completo",IF(SUMPRODUCT(($J$119:$J$127=1)*($E$119:$E$127="Pendiente"))=SUMPRODUCT(($J$119:$J$127=1)*($E$119:$E$127&lt;&gt;"No aplica")),"Pendiente","En proceso")))</f>
        <v/>
      </c>
      <c r="F118" s="26">
        <f>SUMPRODUCT(($J$119:$J$127=1)*($E$119:$E$127="Entregado"))&amp;" de "&amp;SUMPRODUCT(($J$119:$J$127=1)*($E$119:$E$127&lt;&gt;"No aplica"))</f>
        <v/>
      </c>
      <c r="G118" s="3" t="inlineStr">
        <is>
          <t>Word</t>
        </is>
      </c>
      <c r="H118" s="3" t="inlineStr">
        <is>
          <t>Sí</t>
        </is>
      </c>
      <c r="I118" s="27" t="inlineStr">
        <is>
          <t>Archivo: "14. Infraestructura y equipamiento.docx". Fuentes: comisión (texto del diagnóstico y 25 fotografías, agrupadas en 13 imágenes de a dos sin los bordes negros), Plan 2024 (inventarios de mobiliario, biblioteca y ambientes administrativos) y puntos 9 a 11. Para no duplicar contenido, se remite a las tablas de los puntos 10 y 11. Los incisos a) a h) de la comisión se redistribuyeron según los subpuntos del índice.</t>
        </is>
      </c>
      <c r="J118" s="3" t="n">
        <v>0</v>
      </c>
      <c r="K118" s="27" t="n"/>
    </row>
    <row r="119">
      <c r="A119" s="6" t="inlineStr">
        <is>
          <t>14.1</t>
        </is>
      </c>
      <c r="B119" s="7" t="inlineStr">
        <is>
          <t>Aulas (físicas o virtuales)</t>
        </is>
      </c>
      <c r="C119" s="8" t="inlineStr">
        <is>
          <t>Juvenal Espejo</t>
        </is>
      </c>
      <c r="D119" s="8" t="inlineStr">
        <is>
          <t>Ruth Sarai Arriague Gonzales</t>
        </is>
      </c>
      <c r="E119" s="6" t="inlineStr">
        <is>
          <t>Entregado</t>
        </is>
      </c>
      <c r="F119" s="9" t="n">
        <v>46308</v>
      </c>
      <c r="G119" s="6" t="inlineStr">
        <is>
          <t>Word</t>
        </is>
      </c>
      <c r="H119" s="6" t="inlineStr">
        <is>
          <t>Sí</t>
        </is>
      </c>
      <c r="I119" s="24" t="inlineStr">
        <is>
          <t>Fuentes: comisión (fotografías, equipamiento) y Plan 2024 (equipamiento por aula). DIFERENCIAS: la comisión indica una capacidad promedio de 250 estudiantes en los pabellones y el diagnóstico de 200, mientras que el cuadro de aulas da 1.100 plazas (275 de promedio); el inventario de mobiliario del Plan 2024 registra 563 y 565 pupitres en los pabellones A y B, frente a una capacidad de 320. Se usaron los totales del cuadro de aulas; VERIFICAR.</t>
        </is>
      </c>
      <c r="J119" s="6" t="n">
        <v>1</v>
      </c>
      <c r="K119" s="24" t="n"/>
    </row>
    <row r="120">
      <c r="A120" s="6" t="inlineStr">
        <is>
          <t>14.2</t>
        </is>
      </c>
      <c r="B120" s="7" t="inlineStr">
        <is>
          <t>Tecnología audiovisual</t>
        </is>
      </c>
      <c r="C120" s="8" t="inlineStr">
        <is>
          <t>Juvenal Espejo</t>
        </is>
      </c>
      <c r="D120" s="8" t="inlineStr">
        <is>
          <t>Ruth Sarai Arriague Gonzales</t>
        </is>
      </c>
      <c r="E120" s="6" t="inlineStr">
        <is>
          <t>Entregado</t>
        </is>
      </c>
      <c r="F120" s="9" t="n">
        <v>46308</v>
      </c>
      <c r="G120" s="6" t="inlineStr">
        <is>
          <t>Word</t>
        </is>
      </c>
      <c r="H120" s="6" t="inlineStr">
        <is>
          <t>Sí</t>
        </is>
      </c>
      <c r="I120" s="24" t="inlineStr">
        <is>
          <t>Ni la comisión ni el Plan 2024 lo desarrollaron; se redactó un resumen del punto 10 (16 proyectores, 15 ecranes, equipos de sonido).</t>
        </is>
      </c>
      <c r="J120" s="6" t="n">
        <v>1</v>
      </c>
      <c r="K120" s="24" t="n"/>
    </row>
    <row r="121">
      <c r="A121" s="6" t="inlineStr">
        <is>
          <t>14.3</t>
        </is>
      </c>
      <c r="B121" s="7" t="inlineStr">
        <is>
          <t>Laboratorios/talleres</t>
        </is>
      </c>
      <c r="C121" s="8" t="inlineStr">
        <is>
          <t>Juvenal Espejo</t>
        </is>
      </c>
      <c r="D121" s="8" t="inlineStr">
        <is>
          <t>Ruth Sarai Arriague Gonzales</t>
        </is>
      </c>
      <c r="E121" s="6" t="inlineStr">
        <is>
          <t>Entregado</t>
        </is>
      </c>
      <c r="F121" s="9" t="n">
        <v>46308</v>
      </c>
      <c r="G121" s="6" t="inlineStr">
        <is>
          <t>Word</t>
        </is>
      </c>
      <c r="H121" s="6" t="inlineStr">
        <is>
          <t>Sí</t>
        </is>
      </c>
      <c r="I121" s="24" t="inlineStr">
        <is>
          <t>Fuentes: puntos 10 y 11, y fotografías de la comisión. No existen talleres ni salas de simulación.
ACTUALIZADO: el laboratorio del Monoblock tiene 24 de 27 computadoras en mal estado (informe del punto 15).</t>
        </is>
      </c>
      <c r="J121" s="6" t="n">
        <v>1</v>
      </c>
      <c r="K121" s="24" t="n"/>
    </row>
    <row r="122" ht="26.4" customHeight="1">
      <c r="A122" s="6" t="inlineStr">
        <is>
          <t>14.4</t>
        </is>
      </c>
      <c r="B122" s="7" t="inlineStr">
        <is>
          <t>Áreas de biblioteca, hemeroteca e información dura o digital</t>
        </is>
      </c>
      <c r="C122" s="8" t="inlineStr">
        <is>
          <t>Juvenal Espejo</t>
        </is>
      </c>
      <c r="D122" s="8" t="inlineStr">
        <is>
          <t>Ruth Sarai Arriague Gonzales</t>
        </is>
      </c>
      <c r="E122" s="6" t="inlineStr">
        <is>
          <t>Entregado</t>
        </is>
      </c>
      <c r="F122" s="9" t="n">
        <v>46308</v>
      </c>
      <c r="G122" s="6" t="inlineStr">
        <is>
          <t>Word</t>
        </is>
      </c>
      <c r="H122" s="6" t="inlineStr">
        <is>
          <t>Sí</t>
        </is>
      </c>
      <c r="I122" s="24" t="inlineStr">
        <is>
          <t>Fuentes: Plan 2024 (ambientes de la biblioteca: sala de lectura de 51 m² para 90 personas) y punto 9. ERRORES DE LA COMISIÓN: indica 6.253 libros, frente a 6.173 en el diagnóstico (se usó 6.173, como en el punto 9), y repite la cifra de "1.951 memorias" del diagnóstico.</t>
        </is>
      </c>
      <c r="J122" s="6" t="n">
        <v>1</v>
      </c>
      <c r="K122" s="24" t="n"/>
    </row>
    <row r="123" ht="26.4" customHeight="1">
      <c r="A123" s="6" t="inlineStr">
        <is>
          <t>14.5</t>
        </is>
      </c>
      <c r="B123" s="7" t="inlineStr">
        <is>
          <t>Salas de computación y computadores estacionales y portátiles</t>
        </is>
      </c>
      <c r="C123" s="8" t="inlineStr">
        <is>
          <t>Juvenal Espejo</t>
        </is>
      </c>
      <c r="D123" s="8" t="inlineStr">
        <is>
          <t>Ruth Sarai Arriague Gonzales</t>
        </is>
      </c>
      <c r="E123" s="6" t="inlineStr">
        <is>
          <t>Entregado</t>
        </is>
      </c>
      <c r="F123" s="9" t="n">
        <v>46308</v>
      </c>
      <c r="G123" s="6" t="inlineStr">
        <is>
          <t>Word</t>
        </is>
      </c>
      <c r="H123" s="6" t="inlineStr">
        <is>
          <t>Sí</t>
        </is>
      </c>
      <c r="I123" s="24" t="inlineStr">
        <is>
          <t>Fuentes: comisión y diagnóstico (70 y 39 equipos, Centro de Cómputo con 3 impresoras, escáner y 4 computadoras). Nadie informó sobre computadoras portátiles; se indicó que el inventario no las registra. El índice oficial dice "computadores estacionales"; en el título del documento se usó "estacionarios", que es lo correcto.
ACTUALIZADO con el informe del punto 15: el laboratorio del Monoblock tiene 27 computadoras, 24 de ellas en mal estado, y 6 portátiles (2 inutilizables); el 90 % de los equipos cumplió su ciclo de vida; se entregan portátiles a los docentes. Se eliminó la frase "el inventario no registra computadoras portátiles".</t>
        </is>
      </c>
      <c r="J123" s="6" t="n">
        <v>1</v>
      </c>
      <c r="K123" s="24" t="n"/>
    </row>
    <row r="124" ht="26.4" customHeight="1">
      <c r="A124" s="6" t="inlineStr">
        <is>
          <t>14.6</t>
        </is>
      </c>
      <c r="B124" s="7" t="inlineStr">
        <is>
          <t>Ambientes administrativos y sala de docentes</t>
        </is>
      </c>
      <c r="C124" s="8" t="inlineStr">
        <is>
          <t>Javier Mendoza Elias</t>
        </is>
      </c>
      <c r="D124" s="8" t="inlineStr">
        <is>
          <t>Andre Alexandro Echeverria Mamani</t>
        </is>
      </c>
      <c r="E124" s="6" t="inlineStr">
        <is>
          <t>Entregado</t>
        </is>
      </c>
      <c r="F124" s="9" t="n">
        <v>46308</v>
      </c>
      <c r="G124" s="6" t="inlineStr">
        <is>
          <t>Word</t>
        </is>
      </c>
      <c r="H124" s="6" t="inlineStr">
        <is>
          <t>Sí</t>
        </is>
      </c>
      <c r="I124" s="24" t="inlineStr">
        <is>
          <t>Fuentes: Plan 2024 (oficinas del Monoblock, sala de docentes de 34 m² para 18 docentes, archivos) y fotografías de la comisión. Se señaló que hay 18 plazas para 82 docentes.</t>
        </is>
      </c>
      <c r="J124" s="6" t="n">
        <v>1</v>
      </c>
      <c r="K124" s="24" t="n"/>
    </row>
    <row r="125" ht="26.4" customHeight="1">
      <c r="A125" s="6" t="inlineStr">
        <is>
          <t>14.7</t>
        </is>
      </c>
      <c r="B125" s="7" t="inlineStr">
        <is>
          <t>Áreas de interacción social, cultural y deportiva</t>
        </is>
      </c>
      <c r="C125" s="8" t="inlineStr">
        <is>
          <t>Javier Mendoza Elias</t>
        </is>
      </c>
      <c r="D125" s="8" t="inlineStr">
        <is>
          <t>Andre Alexandro Echeverria Mamani</t>
        </is>
      </c>
      <c r="E125" s="6" t="inlineStr">
        <is>
          <t>Entregado</t>
        </is>
      </c>
      <c r="F125" s="9" t="n">
        <v>46308</v>
      </c>
      <c r="G125" s="6" t="inlineStr">
        <is>
          <t>Word</t>
        </is>
      </c>
      <c r="H125" s="6" t="inlineStr">
        <is>
          <t>Sí</t>
        </is>
      </c>
      <c r="I125" s="24" t="inlineStr">
        <is>
          <t>Completado con el informe de la comisión del punto 15: cancha polifuncional del Edificio Nava Morales, Coliseo UMSA (calle Federico Zuazo) y Campus Universitario de Cota Cota, todos de uso compartido por docentes, estudiantes y administrativos. Se mantienen el auditorio y los pabellones como espacios culturales.</t>
        </is>
      </c>
      <c r="J125" s="6" t="n">
        <v>1</v>
      </c>
      <c r="K125" s="24" t="n"/>
    </row>
    <row r="126" ht="26.4" customHeight="1">
      <c r="A126" s="6" t="inlineStr">
        <is>
          <t>14.8</t>
        </is>
      </c>
      <c r="B126" s="7" t="inlineStr">
        <is>
          <t>Infraestructura sanitaria para docentes, estudiantes y administrativos</t>
        </is>
      </c>
      <c r="C126" s="8" t="inlineStr">
        <is>
          <t>Javier Mendoza Elias</t>
        </is>
      </c>
      <c r="D126" s="8" t="inlineStr">
        <is>
          <t>Andre Alexandro Echeverria Mamani</t>
        </is>
      </c>
      <c r="E126" s="6" t="inlineStr">
        <is>
          <t>Entregado</t>
        </is>
      </c>
      <c r="F126" s="9" t="n">
        <v>46308</v>
      </c>
      <c r="G126" s="6" t="inlineStr">
        <is>
          <t>Word</t>
        </is>
      </c>
      <c r="H126" s="6" t="inlineStr">
        <is>
          <t>Sí</t>
        </is>
      </c>
      <c r="I126" s="24" t="inlineStr">
        <is>
          <t>Completado con el informe de la comisión del punto 15: baños de damas y varones de uso exclusivo en el 1.er y el 4.º piso de Nava Morales; en el Monoblock, el personal usa los del 3.er piso y los estudiantes los del segundo patio. Según la comisión, los baños de damas colapsan en cada cambio de materia; recomienda su ampliación previo estudio de ingeniería.</t>
        </is>
      </c>
      <c r="J126" s="6" t="n">
        <v>1</v>
      </c>
      <c r="K126" s="24" t="n"/>
    </row>
    <row r="127" ht="26.4" customHeight="1">
      <c r="A127" s="6" t="inlineStr">
        <is>
          <t>14.9</t>
        </is>
      </c>
      <c r="B127" s="7" t="inlineStr">
        <is>
          <t>Software</t>
        </is>
      </c>
      <c r="C127" s="8" t="inlineStr">
        <is>
          <t>Javier Mendoza Elias</t>
        </is>
      </c>
      <c r="D127" s="8" t="inlineStr">
        <is>
          <t>Andre Alexandro Echeverria Mamani</t>
        </is>
      </c>
      <c r="E127" s="6" t="inlineStr">
        <is>
          <t>Entregado</t>
        </is>
      </c>
      <c r="F127" s="9" t="n">
        <v>46308</v>
      </c>
      <c r="G127" s="6" t="inlineStr">
        <is>
          <t>Word</t>
        </is>
      </c>
      <c r="H127" s="6" t="inlineStr">
        <is>
          <t>Sí</t>
        </is>
      </c>
      <c r="I127" s="24" t="inlineStr">
        <is>
          <t>Fuentes: comisión (servidores, seguimiento académico, plataforma virtual, control biométrico de asistencia) y puntos 10 y 11. ERROR DE LA COMISIÓN: repite la "brecha del 93 % en habilidades tecnológicas" de Ipsos, ya corregida en el punto 3 (el 93 % es la proporción que la considera totalmente necesaria; las brechas reales son de 43 y 51 puntos porcentuales); se omitió. El cuadro de infraestructura tecnológica requerida ya está en el punto 11 (Cuadro 6) y no se repitió.</t>
        </is>
      </c>
      <c r="J127" s="6" t="n">
        <v>1</v>
      </c>
      <c r="K127" s="24" t="n"/>
    </row>
    <row r="128" ht="25.2" customHeight="1">
      <c r="A128" s="3" t="inlineStr">
        <is>
          <t>15.</t>
        </is>
      </c>
      <c r="B128" s="4" t="inlineStr">
        <is>
          <t>Mobiliario, equipamiento y materiales</t>
        </is>
      </c>
      <c r="C128" s="4" t="inlineStr">
        <is>
          <t>Hernan Alvarado</t>
        </is>
      </c>
      <c r="D128" s="4" t="inlineStr">
        <is>
          <t>Angeles Iraya Mendoza Gutierrez</t>
        </is>
      </c>
      <c r="E128" s="3">
        <f>IF(SUMPRODUCT(($J$129:$J$133=1)*($E$129:$E$133&lt;&gt;"No aplica"))=0,"No aplica",IF(SUMPRODUCT(($J$129:$J$133=1)*($E$129:$E$133="Entregado"))=SUMPRODUCT(($J$129:$J$133=1)*($E$129:$E$133&lt;&gt;"No aplica")),"Completo",IF(SUMPRODUCT(($J$129:$J$133=1)*($E$129:$E$133="Pendiente"))=SUMPRODUCT(($J$129:$J$133=1)*($E$129:$E$133&lt;&gt;"No aplica")),"Pendiente","En proceso")))</f>
        <v/>
      </c>
      <c r="F128" s="26">
        <f>SUMPRODUCT(($J$129:$J$133=1)*($E$129:$E$133="Entregado"))&amp;" de "&amp;SUMPRODUCT(($J$129:$J$133=1)*($E$129:$E$133&lt;&gt;"No aplica"))</f>
        <v/>
      </c>
      <c r="G128" s="3" t="inlineStr">
        <is>
          <t>Word</t>
        </is>
      </c>
      <c r="H128" s="3" t="inlineStr">
        <is>
          <t>Sí</t>
        </is>
      </c>
      <c r="I128" s="27" t="inlineStr">
        <is>
          <t>Archivo: "15. Mobiliario, equipamiento y materiales.docx". Fuente principal: comisión (informe de la Comisión Supra del 12/10/2026, con relevamiento de mobiliario y equipos por área, conclusiones, recomendaciones y requerimientos). También Plan 2024 (ambientes administrativos y archivos) y puntos 10, 11 y 14. El informe de la comisión estaba en formato de nota interna (A, VÍA, DE, REF.) y organizado por áreas; se adaptó al formato del diseño curricular y a los subpuntos 15.1 a 15.5 del índice. Se incluyeron 4 fotos nuevas (salas de computación, auditorio, sala de lectura); las de las aulas no se repitieron porque están en el punto 14. Las fichas de estado por aula (anexos 1 a 17) se consolidaron en los cuadros 1 y 2. ERRORES Y DIFERENCIAS: (1) la capacidad de las aulas de Nava Morales (102, 136, 94, 134, 90, 80, 148, 120; total 904) difiere de la del inventario oficial (920) usado en el punto 11; (2) los pabellones tienen 1.776 asientos (606, 606, 300 y 264) frente a una capacidad oficial de 1.100; se aclaró en el texto; (3) la comisión ubica el auditorio en el piso 1 y la del punto 10, en el 2.º piso; VERIFICAR; (4) la comisión dice "la máxima velocidad que puede agarrar [IPv4] es de 100 Mbps" y pide switches "categoría 6 con puertos de 100 Gbps": técnicamente incorrecto (IPv4 no limita la velocidad, el límite lo ponen switches Fast Ethernet de 100 Mbps, y la categoría 6 no admite 100 Gbps); se redactó como "switches gestionables de 48 puertos con enlaces de alta velocidad y cableado de categoría 6"; VERIFICAR la especificación con el Centro de Cómputo; (5) el cuadro 2 de la comisión indica 1 o 2 pizarras en las aulas 4 y 5, pero las fichas indican 2; (6) el Edificio Requima (calle Montevideo 130, piso 8, Unidad de Postgrado) no figura en los puntos 1, 11 ni 14.</t>
        </is>
      </c>
      <c r="J128" s="3" t="n">
        <v>0</v>
      </c>
      <c r="K128" s="27" t="n"/>
    </row>
    <row r="129" ht="26.4" customHeight="1">
      <c r="A129" s="6" t="inlineStr">
        <is>
          <t>15.1</t>
        </is>
      </c>
      <c r="B129" s="7" t="inlineStr">
        <is>
          <t>Depósitos de materiales</t>
        </is>
      </c>
      <c r="C129" s="8" t="inlineStr">
        <is>
          <t>Hernan Alvarado</t>
        </is>
      </c>
      <c r="D129" s="8" t="inlineStr">
        <is>
          <t>Angeles Iraya Mendoza Gutierrez</t>
        </is>
      </c>
      <c r="E129" s="6" t="inlineStr">
        <is>
          <t>Entregado</t>
        </is>
      </c>
      <c r="F129" s="9" t="n">
        <v>46308</v>
      </c>
      <c r="G129" s="6" t="inlineStr">
        <is>
          <t>Word</t>
        </is>
      </c>
      <c r="H129" s="6" t="inlineStr">
        <is>
          <t>Sí</t>
        </is>
      </c>
      <c r="I129" s="24" t="inlineStr">
        <is>
          <t>Fuente: comisión (PETAENG: control de materiales con kárdex físico). La comisión no informó sobre un depósito de materiales de toda la Carrera; se señaló esa ausencia y se propuso un control unificado (recomendación de la comisión). El Plan 2024 tenía el punto vacío.</t>
        </is>
      </c>
      <c r="J129" s="6" t="n">
        <v>1</v>
      </c>
      <c r="K129" s="24" t="n"/>
    </row>
    <row r="130" ht="26.4" customHeight="1">
      <c r="A130" s="6" t="inlineStr">
        <is>
          <t>15.2</t>
        </is>
      </c>
      <c r="B130" s="7" t="inlineStr">
        <is>
          <t>Depósitos de equipamiento almacenes</t>
        </is>
      </c>
      <c r="C130" s="8" t="inlineStr">
        <is>
          <t>Hernan Alvarado</t>
        </is>
      </c>
      <c r="D130" s="8" t="inlineStr">
        <is>
          <t>Angeles Iraya Mendoza Gutierrez</t>
        </is>
      </c>
      <c r="E130" s="6" t="inlineStr">
        <is>
          <t>Entregado</t>
        </is>
      </c>
      <c r="F130" s="9" t="n">
        <v>46308</v>
      </c>
      <c r="G130" s="6" t="inlineStr">
        <is>
          <t>Word</t>
        </is>
      </c>
      <c r="H130" s="6" t="inlineStr">
        <is>
          <t>Sí</t>
        </is>
      </c>
      <c r="I130" s="24" t="inlineStr">
        <is>
          <t>Fuente: comisión (inventario detallado de activos del PETAENG, 26 ítems, resumido en el cuadro 5; gavetas de Kárdex; gaveteros y estantes del Postgrado). No se identificó un almacén propio.</t>
        </is>
      </c>
      <c r="J130" s="6" t="n">
        <v>1</v>
      </c>
      <c r="K130" s="24" t="n"/>
    </row>
    <row r="131" ht="26.4" customHeight="1">
      <c r="A131" s="6" t="inlineStr">
        <is>
          <t>15.3</t>
        </is>
      </c>
      <c r="B131" s="7" t="inlineStr">
        <is>
          <t>Sala de espera</t>
        </is>
      </c>
      <c r="C131" s="8" t="inlineStr">
        <is>
          <t>Angel Quisbert</t>
        </is>
      </c>
      <c r="D131" s="8" t="inlineStr">
        <is>
          <t>Sergio Esteban Zambrana Fariñas</t>
        </is>
      </c>
      <c r="E131" s="6" t="inlineStr">
        <is>
          <t>Entregado</t>
        </is>
      </c>
      <c r="F131" s="9" t="n">
        <v>46308</v>
      </c>
      <c r="G131" s="6" t="inlineStr">
        <is>
          <t>Word</t>
        </is>
      </c>
      <c r="H131" s="6" t="inlineStr">
        <is>
          <t>Sí</t>
        </is>
      </c>
      <c r="I131" s="24" t="inlineStr">
        <is>
          <t>Fuentes: comisión (el PETAENG no tiene sala de espera), punto 10 (sala de espera del Centro de Cómputo, 10 m²) y Plan 2024 (Ventanilla Única, 17 m²). El requerimiento de la comisión menciona un "ambiente compartido para el Coordinador y personal administrativo de la Biblioteca"; parece un error de copia (es el PETAENG) y se omitió la mención a la Biblioteca.</t>
        </is>
      </c>
      <c r="J131" s="6" t="n">
        <v>1</v>
      </c>
      <c r="K131" s="24" t="n"/>
    </row>
    <row r="132" ht="26.4" customHeight="1">
      <c r="A132" s="6" t="inlineStr">
        <is>
          <t>15.4</t>
        </is>
      </c>
      <c r="B132" s="7" t="inlineStr">
        <is>
          <t>Archivo físico</t>
        </is>
      </c>
      <c r="C132" s="8" t="inlineStr">
        <is>
          <t>Angel Quisbert</t>
        </is>
      </c>
      <c r="D132" s="8" t="inlineStr">
        <is>
          <t>Sergio Esteban Zambrana Fariñas</t>
        </is>
      </c>
      <c r="E132" s="6" t="inlineStr">
        <is>
          <t>Entregado</t>
        </is>
      </c>
      <c r="F132" s="9" t="n">
        <v>46308</v>
      </c>
      <c r="G132" s="6" t="inlineStr">
        <is>
          <t>Word</t>
        </is>
      </c>
      <c r="H132" s="6" t="inlineStr">
        <is>
          <t>Sí</t>
        </is>
      </c>
      <c r="I132" s="24" t="inlineStr">
        <is>
          <t>Fuentes: comisión (Kárdex: Res. HCU 250/2021, 19.554 expedientes y 232 libros de actas verificados por suma, mobiliario y requerimientos) y Plan 2024 (archivos de 22, 22, 84 y 35 m²).</t>
        </is>
      </c>
      <c r="J132" s="6" t="n">
        <v>1</v>
      </c>
      <c r="K132" s="24" t="n"/>
    </row>
    <row r="133" ht="26.4" customHeight="1">
      <c r="A133" s="6" t="inlineStr">
        <is>
          <t>15.5</t>
        </is>
      </c>
      <c r="B133" s="7" t="inlineStr">
        <is>
          <t>Archivo digital</t>
        </is>
      </c>
      <c r="C133" s="8" t="inlineStr">
        <is>
          <t>Angel Quisbert</t>
        </is>
      </c>
      <c r="D133" s="8" t="inlineStr">
        <is>
          <t>Sergio Esteban Zambrana Fariñas</t>
        </is>
      </c>
      <c r="E133" s="6" t="inlineStr">
        <is>
          <t>Entregado</t>
        </is>
      </c>
      <c r="F133" s="9" t="n">
        <v>46308</v>
      </c>
      <c r="G133" s="6" t="inlineStr">
        <is>
          <t>Word</t>
        </is>
      </c>
      <c r="H133" s="6" t="inlineStr">
        <is>
          <t>Sí</t>
        </is>
      </c>
      <c r="I133" s="24" t="inlineStr">
        <is>
          <t>Fuentes: comisión (Sistema de Información Académica: SRU, SSA y SDK; archivo digital del PETAENG) y punto 10.2 (servidores y copias de seguridad).</t>
        </is>
      </c>
      <c r="J133" s="6" t="n">
        <v>1</v>
      </c>
      <c r="K133" s="24" t="n"/>
    </row>
    <row r="134" ht="25.2" customHeight="1">
      <c r="A134" s="3" t="inlineStr">
        <is>
          <t>16.</t>
        </is>
      </c>
      <c r="B134" s="4" t="inlineStr">
        <is>
          <t>Disposiciones de ejecución</t>
        </is>
      </c>
      <c r="C134" s="4" t="inlineStr">
        <is>
          <t>Edwin Gutiérrez Zapana</t>
        </is>
      </c>
      <c r="D134" s="4" t="inlineStr">
        <is>
          <t>Adhemar Carlos Palacios Choque</t>
        </is>
      </c>
      <c r="E134" s="3">
        <f>IF(SUMPRODUCT(($J$135:$J$137=1)*($E$135:$E$137&lt;&gt;"No aplica"))=0,"No aplica",IF(SUMPRODUCT(($J$135:$J$137=1)*($E$135:$E$137="Entregado"))=SUMPRODUCT(($J$135:$J$137=1)*($E$135:$E$137&lt;&gt;"No aplica")),"Completo",IF(SUMPRODUCT(($J$135:$J$137=1)*($E$135:$E$137="Pendiente"))=SUMPRODUCT(($J$135:$J$137=1)*($E$135:$E$137&lt;&gt;"No aplica")),"Pendiente","En proceso")))</f>
        <v/>
      </c>
      <c r="F134" s="26">
        <f>SUMPRODUCT(($J$135:$J$137=1)*($E$135:$E$137="Entregado"))&amp;" de "&amp;SUMPRODUCT(($J$135:$J$137=1)*($E$135:$E$137&lt;&gt;"No aplica"))</f>
        <v/>
      </c>
      <c r="G134" s="3" t="inlineStr">
        <is>
          <t>Word</t>
        </is>
      </c>
      <c r="H134" s="3" t="inlineStr">
        <is>
          <t>Sí</t>
        </is>
      </c>
      <c r="I134" s="27" t="inlineStr">
        <is>
          <t>Archivo: "16. Disposiciones de ejecución.docx". La comisión NO envió el punto 16. Fuentes: fuente terciaria (principios, mecanismos, cuadros de homologación para estudiantes y docentes, cronograma 2027-2031 y disposición transitoria de graduación), Plan 2024 (cuadros de convalidación 2013-2024) y puntos 5, 11, 12, 13 y 15. NOTA: el Plan 2024 indica que fue aprobado por el Comité Ejecutivo del HCU mediante la Res. CEHCU 024/2024 del 31/01/2024, porque no había cogobierno; en el punto 1 figura como HCU 233/2024 (en verde, por confirmar). Ninguna de las dos se usó en el punto 16, que parte del Plan 2013 vigente, según el diagnóstico. CONFIRMAR la situación del Plan 2024 y si hay estudiantes inscritos en él, porque en ese caso haría falta una segunda tabla de convalidación (2024-2027).</t>
        </is>
      </c>
      <c r="J134" s="3" t="n">
        <v>0</v>
      </c>
      <c r="K134" s="27" t="n"/>
    </row>
    <row r="135" ht="26.4" customHeight="1">
      <c r="A135" s="6" t="inlineStr">
        <is>
          <t>16.1</t>
        </is>
      </c>
      <c r="B135" s="7" t="inlineStr">
        <is>
          <t>Cuadro de convalidación y homologación</t>
        </is>
      </c>
      <c r="C135" s="8" t="inlineStr">
        <is>
          <t>Edwin Gutiérrez Zapana</t>
        </is>
      </c>
      <c r="D135" s="8" t="inlineStr">
        <is>
          <t>Adhemar Carlos Palacios Choque</t>
        </is>
      </c>
      <c r="E135" s="6" t="inlineStr">
        <is>
          <t>Entregado</t>
        </is>
      </c>
      <c r="F135" s="9" t="n">
        <v>46308</v>
      </c>
      <c r="G135" s="6" t="inlineStr">
        <is>
          <t>Word</t>
        </is>
      </c>
      <c r="H135" s="6" t="inlineStr">
        <is>
          <t>Sí</t>
        </is>
      </c>
      <c r="I135" s="24" t="inlineStr">
        <is>
          <t>Fuente: fuente terciaria. Se unificaron sus dos cuadros (estudiantes y docentes titulares), que tenían la misma correspondencia, en un solo cuadro de 43 equivalencias con los nombres oficiales de la malla 2027 (la fuente terciaria usaba "Presupuesto", "Proyectos: Público y Privado" y "Algebra" sin tilde). Resultado: 34 homologaciones directas, 4 homologaciones con cambio de nivel o actualización y 5 convalidaciones (CPA-102, CPA-305, CPA-505, CPA-506 y MAT-201). Correcciones: (1) para la convalidación, la fuente terciaria fija una similitud del "60 % - 70 %"; se usó el 70 %, como en el punto 5; (2) se omitió la cita al "Artículo 8 de la normativa de Innovación Curricular del SUB" porque no pudo verificarse. Se agregaron disposiciones sobre trámite (30 días), migración voluntaria e irreversible y compensación docente; VALIDAR.</t>
        </is>
      </c>
      <c r="J135" s="6" t="n">
        <v>1</v>
      </c>
      <c r="K135" s="24" t="n"/>
    </row>
    <row r="136">
      <c r="A136" s="6" t="inlineStr">
        <is>
          <t>16.2</t>
        </is>
      </c>
      <c r="B136" s="7" t="inlineStr">
        <is>
          <t>Plan de implementación</t>
        </is>
      </c>
      <c r="C136" s="8" t="inlineStr">
        <is>
          <t>Gonzalo Terán Gandarillas</t>
        </is>
      </c>
      <c r="D136" s="8" t="inlineStr">
        <is>
          <t>Yesenia Chino Condori</t>
        </is>
      </c>
      <c r="E136" s="6" t="inlineStr">
        <is>
          <t>Entregado</t>
        </is>
      </c>
      <c r="F136" s="9" t="n">
        <v>46308</v>
      </c>
      <c r="G136" s="6" t="inlineStr">
        <is>
          <t>Word</t>
        </is>
      </c>
      <c r="H136" s="6" t="inlineStr">
        <is>
          <t>Sí</t>
        </is>
      </c>
      <c r="I136" s="24" t="inlineStr">
        <is>
          <t>Fuente: fuente terciaria (cronograma 2027-2031), completado con las fases del punto 11.3.4, el calendario de evaluación del punto 12 (2028, 2030 y 2031) y la línea base de titulados. Cuadro 2 de 2026 a 2032 y responsables.</t>
        </is>
      </c>
      <c r="J136" s="6" t="n">
        <v>1</v>
      </c>
      <c r="K136" s="24" t="n"/>
    </row>
    <row r="137">
      <c r="A137" s="6" t="inlineStr">
        <is>
          <t>16.3</t>
        </is>
      </c>
      <c r="B137" s="7" t="inlineStr">
        <is>
          <t>Política de extinción del plan de estudio</t>
        </is>
      </c>
      <c r="C137" s="8" t="inlineStr">
        <is>
          <t>Gonzalo Terán Gandarillas</t>
        </is>
      </c>
      <c r="D137" s="8" t="inlineStr">
        <is>
          <t>Yesenia Chino Condori</t>
        </is>
      </c>
      <c r="E137" s="6" t="inlineStr">
        <is>
          <t>Entregado</t>
        </is>
      </c>
      <c r="F137" s="9" t="n">
        <v>46308</v>
      </c>
      <c r="G137" s="6" t="inlineStr">
        <is>
          <t>Word</t>
        </is>
      </c>
      <c r="H137" s="6" t="inlineStr">
        <is>
          <t>Sí</t>
        </is>
      </c>
      <c r="I137" s="24" t="inlineStr">
        <is>
          <t>Ninguna fuente lo desarrolló como apartado. Se redactó con la secuencia de extinción y la disposición transitoria de graduación de la fuente terciaria (3 años desde el egreso para graduarse bajo el Plan 2013, luego Plan 2027 o PETAENG). Se verificó que cada año del Plan 2013 se extingue cuando su equivalente 2027 ya funciona; en 2031 se extinguen juntos el 4.º y el 5.º año, según la fuente terciaria. Se propuso habilitar cursos de temporada y mesas para los rezagados durante el año siguiente a cada extinción; VALIDAR.</t>
        </is>
      </c>
      <c r="J137" s="6" t="n">
        <v>1</v>
      </c>
      <c r="K137" s="24" t="n"/>
    </row>
  </sheetData>
  <autoFilter ref="A4:I137"/>
  <conditionalFormatting sqref="E5:E137">
    <cfRule type="expression" priority="1" dxfId="5">
      <formula>E5="Entregado"</formula>
    </cfRule>
    <cfRule type="expression" priority="2" dxfId="5">
      <formula>E5="Completo"</formula>
    </cfRule>
    <cfRule type="expression" priority="3" dxfId="3">
      <formula>E5="Parcial"</formula>
    </cfRule>
    <cfRule type="expression" priority="4" dxfId="3">
      <formula>E5="En proceso"</formula>
    </cfRule>
    <cfRule type="expression" priority="5" dxfId="2">
      <formula>E5="Observado"</formula>
    </cfRule>
    <cfRule type="expression" priority="7" dxfId="1">
      <formula>E5="No aplica"</formula>
    </cfRule>
  </conditionalFormatting>
  <conditionalFormatting sqref="H5:H137">
    <cfRule type="expression" priority="6" dxfId="0">
      <formula>H5="Sí"</formula>
    </cfRule>
  </conditionalFormatting>
  <dataValidations count="4">
    <dataValidation sqref="E6:E18 E20:E26 E28:E32 E35:E39 E41:E47 E49:E53 E55:E58 E60:E71 E73:E76 E78:E79 E81:E82 E84:E89 E91:E94 E96:E107 E109:E111 E113:E114 E116:E117 E119:E127 E129:E133 E135:E137" showDropDown="0" showInputMessage="0" showErrorMessage="1" allowBlank="0" errorTitle="Estado" error="Elija un estado de la lista." type="list">
      <formula1>"Pendiente,Entregado,Parcial,Observado,No aplica"</formula1>
    </dataValidation>
    <dataValidation sqref="G6:G18 G20:G26 G28:G32 G35:G39 G41:G47 G49:G53 G55:G58 G60:G71 G73:G76 G78:G79 G81:G82 G84:G89 G91:G94 G96:G107 G109:G111 G113:G114 G116:G117 G119:G127 G129:G133 G135:G137" showDropDown="0" showInputMessage="0" showErrorMessage="0" allowBlank="1" type="list">
      <formula1>"Word,PDF,Excel,PowerPoint,Otro"</formula1>
    </dataValidation>
    <dataValidation sqref="H6:H18 H20:H26 H28:H32 H35:H39 H41:H47 H49:H53 H55:H58 H60:H71 H73:H76 H78:H79 H81:H82 H84:H89 H91:H94 H96:H107 H109:H111 H113:H114 H116:H117 H119:H127 H129:H133 H135:H137" showDropDown="0" showInputMessage="0" showErrorMessage="0" allowBlank="0" type="list">
      <formula1>"Sí,No"</formula1>
    </dataValidation>
    <dataValidation sqref="F6:F18 F20:F26 F28:F32 F35:F39 F41:F47 F49:F53 F55:F58 F60:F71 F73:F76 F78:F79 F81:F82 F84:F89 F91:F94 F96:F107 F109:F111 F113:F114 F116:F117 F119:F127 F129:F133 F135:F137" showDropDown="0" showInputMessage="0" showErrorMessage="1" allowBlank="1" errorTitle="Fecha" error="Ingrese una fecha válida (dd/mm/aaaa)." type="date" operator="greaterThan">
      <formula1>45658</formula1>
    </dataValidation>
  </dataValidations>
  <printOptions horizontalCentered="1"/>
  <pageMargins left="0.4" right="0.4" top="0.5" bottom="0.5" header="0.5" footer="0.5"/>
  <pageSetup orientation="landscape" fitToHeight="0"/>
  <headerFooter>
    <oddHeader/>
    <oddFooter>&amp;R&amp;"Century Gothic"Página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I21"/>
  <sheetViews>
    <sheetView workbookViewId="0">
      <pane ySplit="4" topLeftCell="A5" activePane="bottomLeft" state="frozen"/>
      <selection pane="bottomLeft" activeCell="A1" sqref="A1"/>
    </sheetView>
  </sheetViews>
  <sheetFormatPr baseColWidth="10" defaultColWidth="8.88671875" defaultRowHeight="14.4"/>
  <cols>
    <col width="8" customWidth="1" min="1" max="1"/>
    <col width="50" customWidth="1" min="2" max="2"/>
    <col width="9" customWidth="1" min="3" max="3"/>
    <col width="12" customWidth="1" min="4" max="4"/>
    <col width="11" customWidth="1" min="5" max="5"/>
    <col width="12" customWidth="1" min="6" max="7"/>
    <col width="11" customWidth="1" min="8" max="9"/>
  </cols>
  <sheetData>
    <row r="1" ht="17.4" customHeight="1">
      <c r="A1" s="1" t="inlineStr">
        <is>
          <t>Resumen de avance por punto</t>
        </is>
      </c>
    </row>
    <row r="2">
      <c r="A2" s="2" t="inlineStr">
        <is>
          <t>Se calcula solo con los ítems entregables de la hoja Checklist. Los ítems marcados «No aplica» no cuentan en el total ni en el avance.</t>
        </is>
      </c>
    </row>
    <row r="4" ht="25.2" customHeight="1">
      <c r="A4" s="3" t="inlineStr">
        <is>
          <t>Punto</t>
        </is>
      </c>
      <c r="B4" s="3" t="inlineStr">
        <is>
          <t>Título</t>
        </is>
      </c>
      <c r="C4" s="3" t="inlineStr">
        <is>
          <t>Ítems</t>
        </is>
      </c>
      <c r="D4" s="3" t="inlineStr">
        <is>
          <t>Entregados</t>
        </is>
      </c>
      <c r="E4" s="3" t="inlineStr">
        <is>
          <t>Parciales</t>
        </is>
      </c>
      <c r="F4" s="3" t="inlineStr">
        <is>
          <t>Observados</t>
        </is>
      </c>
      <c r="G4" s="3" t="inlineStr">
        <is>
          <t>Pendientes</t>
        </is>
      </c>
      <c r="H4" s="3" t="inlineStr">
        <is>
          <t>Avance</t>
        </is>
      </c>
      <c r="I4" s="3" t="inlineStr">
        <is>
          <t>No aplica</t>
        </is>
      </c>
    </row>
    <row r="5">
      <c r="A5" s="6" t="n">
        <v>1</v>
      </c>
      <c r="B5" s="8" t="inlineStr">
        <is>
          <t>Identificación del programa/carrera</t>
        </is>
      </c>
      <c r="C5" s="6">
        <f>COUNTIFS(Checklist!$A$5:$A$137,"1.*",Checklist!$J$5:$J$137,1,Checklist!$E$5:$E$137,"&lt;&gt;No aplica")</f>
        <v/>
      </c>
      <c r="D5" s="6">
        <f>COUNTIFS(Checklist!$A$5:$A$137,"1.*",Checklist!$J$5:$J$137,1,Checklist!$E$5:$E$137,"Entregado")</f>
        <v/>
      </c>
      <c r="E5" s="6">
        <f>COUNTIFS(Checklist!$A$5:$A$137,"1.*",Checklist!$J$5:$J$137,1,Checklist!$E$5:$E$137,"Parcial")</f>
        <v/>
      </c>
      <c r="F5" s="6">
        <f>COUNTIFS(Checklist!$A$5:$A$137,"1.*",Checklist!$J$5:$J$137,1,Checklist!$E$5:$E$137,"Observado")</f>
        <v/>
      </c>
      <c r="G5" s="6">
        <f>COUNTIFS(Checklist!$A$5:$A$137,"1.*",Checklist!$J$5:$J$137,1,Checklist!$E$5:$E$137,"Pendiente")</f>
        <v/>
      </c>
      <c r="H5" s="20">
        <f>IF(C5=0,IF(I5&gt;0,1,0),D5/C5)</f>
        <v/>
      </c>
      <c r="I5" s="6">
        <f>COUNTIFS(Checklist!$A$5:$A$137,"1.*",Checklist!$J$5:$J$137,1,Checklist!$E$5:$E$137,"No aplica")</f>
        <v/>
      </c>
    </row>
    <row r="6">
      <c r="A6" s="6" t="n">
        <v>2</v>
      </c>
      <c r="B6" s="8" t="inlineStr">
        <is>
          <t>Antecedentes</t>
        </is>
      </c>
      <c r="C6" s="6">
        <f>COUNTIFS(Checklist!$A$5:$A$137,"2.*",Checklist!$J$5:$J$137,1,Checklist!$E$5:$E$137,"&lt;&gt;No aplica")</f>
        <v/>
      </c>
      <c r="D6" s="6">
        <f>COUNTIFS(Checklist!$A$5:$A$137,"2.*",Checklist!$J$5:$J$137,1,Checklist!$E$5:$E$137,"Entregado")</f>
        <v/>
      </c>
      <c r="E6" s="6">
        <f>COUNTIFS(Checklist!$A$5:$A$137,"2.*",Checklist!$J$5:$J$137,1,Checklist!$E$5:$E$137,"Parcial")</f>
        <v/>
      </c>
      <c r="F6" s="6">
        <f>COUNTIFS(Checklist!$A$5:$A$137,"2.*",Checklist!$J$5:$J$137,1,Checklist!$E$5:$E$137,"Observado")</f>
        <v/>
      </c>
      <c r="G6" s="6">
        <f>COUNTIFS(Checklist!$A$5:$A$137,"2.*",Checklist!$J$5:$J$137,1,Checklist!$E$5:$E$137,"Pendiente")</f>
        <v/>
      </c>
      <c r="H6" s="20">
        <f>IF(C6=0,IF(I6&gt;0,1,0),D6/C6)</f>
        <v/>
      </c>
      <c r="I6" s="6">
        <f>COUNTIFS(Checklist!$A$5:$A$137,"2.*",Checklist!$J$5:$J$137,1,Checklist!$E$5:$E$137,"No aplica")</f>
        <v/>
      </c>
    </row>
    <row r="7" ht="26.4" customHeight="1">
      <c r="A7" s="6" t="n">
        <v>3</v>
      </c>
      <c r="B7" s="8" t="inlineStr">
        <is>
          <t>Justificación de la innovación curricular (solo para niveles de diseño, rediseño y ajustes)</t>
        </is>
      </c>
      <c r="C7" s="6">
        <f>COUNTIFS(Checklist!$A$5:$A$137,"3.*",Checklist!$J$5:$J$137,1,Checklist!$E$5:$E$137,"&lt;&gt;No aplica")</f>
        <v/>
      </c>
      <c r="D7" s="6">
        <f>COUNTIFS(Checklist!$A$5:$A$137,"3.*",Checklist!$J$5:$J$137,1,Checklist!$E$5:$E$137,"Entregado")</f>
        <v/>
      </c>
      <c r="E7" s="6">
        <f>COUNTIFS(Checklist!$A$5:$A$137,"3.*",Checklist!$J$5:$J$137,1,Checklist!$E$5:$E$137,"Parcial")</f>
        <v/>
      </c>
      <c r="F7" s="6">
        <f>COUNTIFS(Checklist!$A$5:$A$137,"3.*",Checklist!$J$5:$J$137,1,Checklist!$E$5:$E$137,"Observado")</f>
        <v/>
      </c>
      <c r="G7" s="6">
        <f>COUNTIFS(Checklist!$A$5:$A$137,"3.*",Checklist!$J$5:$J$137,1,Checklist!$E$5:$E$137,"Pendiente")</f>
        <v/>
      </c>
      <c r="H7" s="20">
        <f>IF(C7=0,IF(I7&gt;0,1,0),D7/C7)</f>
        <v/>
      </c>
      <c r="I7" s="6">
        <f>COUNTIFS(Checklist!$A$5:$A$137,"3.*",Checklist!$J$5:$J$137,1,Checklist!$E$5:$E$137,"No aplica")</f>
        <v/>
      </c>
    </row>
    <row r="8">
      <c r="A8" s="6" t="n">
        <v>4</v>
      </c>
      <c r="B8" s="8" t="inlineStr">
        <is>
          <t>Aspectos académicos</t>
        </is>
      </c>
      <c r="C8" s="6">
        <f>COUNTIFS(Checklist!$A$5:$A$137,"4.*",Checklist!$J$5:$J$137,1,Checklist!$E$5:$E$137,"&lt;&gt;No aplica")</f>
        <v/>
      </c>
      <c r="D8" s="6">
        <f>COUNTIFS(Checklist!$A$5:$A$137,"4.*",Checklist!$J$5:$J$137,1,Checklist!$E$5:$E$137,"Entregado")</f>
        <v/>
      </c>
      <c r="E8" s="6">
        <f>COUNTIFS(Checklist!$A$5:$A$137,"4.*",Checklist!$J$5:$J$137,1,Checklist!$E$5:$E$137,"Parcial")</f>
        <v/>
      </c>
      <c r="F8" s="6">
        <f>COUNTIFS(Checklist!$A$5:$A$137,"4.*",Checklist!$J$5:$J$137,1,Checklist!$E$5:$E$137,"Observado")</f>
        <v/>
      </c>
      <c r="G8" s="6">
        <f>COUNTIFS(Checklist!$A$5:$A$137,"4.*",Checklist!$J$5:$J$137,1,Checklist!$E$5:$E$137,"Pendiente")</f>
        <v/>
      </c>
      <c r="H8" s="20">
        <f>IF(C8=0,IF(I8&gt;0,1,0),D8/C8)</f>
        <v/>
      </c>
      <c r="I8" s="6">
        <f>COUNTIFS(Checklist!$A$5:$A$137,"4.*",Checklist!$J$5:$J$137,1,Checklist!$E$5:$E$137,"No aplica")</f>
        <v/>
      </c>
    </row>
    <row r="9">
      <c r="A9" s="6" t="n">
        <v>5</v>
      </c>
      <c r="B9" s="8" t="inlineStr">
        <is>
          <t>Admisión, promoción y graduación</t>
        </is>
      </c>
      <c r="C9" s="6">
        <f>COUNTIFS(Checklist!$A$5:$A$137,"5.*",Checklist!$J$5:$J$137,1,Checklist!$E$5:$E$137,"&lt;&gt;No aplica")</f>
        <v/>
      </c>
      <c r="D9" s="6">
        <f>COUNTIFS(Checklist!$A$5:$A$137,"5.*",Checklist!$J$5:$J$137,1,Checklist!$E$5:$E$137,"Entregado")</f>
        <v/>
      </c>
      <c r="E9" s="6">
        <f>COUNTIFS(Checklist!$A$5:$A$137,"5.*",Checklist!$J$5:$J$137,1,Checklist!$E$5:$E$137,"Parcial")</f>
        <v/>
      </c>
      <c r="F9" s="6">
        <f>COUNTIFS(Checklist!$A$5:$A$137,"5.*",Checklist!$J$5:$J$137,1,Checklist!$E$5:$E$137,"Observado")</f>
        <v/>
      </c>
      <c r="G9" s="6">
        <f>COUNTIFS(Checklist!$A$5:$A$137,"5.*",Checklist!$J$5:$J$137,1,Checklist!$E$5:$E$137,"Pendiente")</f>
        <v/>
      </c>
      <c r="H9" s="20">
        <f>IF(C9=0,IF(I9&gt;0,1,0),D9/C9)</f>
        <v/>
      </c>
      <c r="I9" s="6">
        <f>COUNTIFS(Checklist!$A$5:$A$137,"5.*",Checklist!$J$5:$J$137,1,Checklist!$E$5:$E$137,"No aplica")</f>
        <v/>
      </c>
    </row>
    <row r="10" ht="39.6" customHeight="1">
      <c r="A10" s="6" t="n">
        <v>6</v>
      </c>
      <c r="B10" s="8" t="inlineStr">
        <is>
          <t>Investigación (articulada con los institutos o unidades de investigación relacionados con la carrera/programa)</t>
        </is>
      </c>
      <c r="C10" s="6">
        <f>COUNTIFS(Checklist!$A$5:$A$137,"6.*",Checklist!$J$5:$J$137,1,Checklist!$E$5:$E$137,"&lt;&gt;No aplica")</f>
        <v/>
      </c>
      <c r="D10" s="6">
        <f>COUNTIFS(Checklist!$A$5:$A$137,"6.*",Checklist!$J$5:$J$137,1,Checklist!$E$5:$E$137,"Entregado")</f>
        <v/>
      </c>
      <c r="E10" s="6">
        <f>COUNTIFS(Checklist!$A$5:$A$137,"6.*",Checklist!$J$5:$J$137,1,Checklist!$E$5:$E$137,"Parcial")</f>
        <v/>
      </c>
      <c r="F10" s="6">
        <f>COUNTIFS(Checklist!$A$5:$A$137,"6.*",Checklist!$J$5:$J$137,1,Checklist!$E$5:$E$137,"Observado")</f>
        <v/>
      </c>
      <c r="G10" s="6">
        <f>COUNTIFS(Checklist!$A$5:$A$137,"6.*",Checklist!$J$5:$J$137,1,Checklist!$E$5:$E$137,"Pendiente")</f>
        <v/>
      </c>
      <c r="H10" s="20">
        <f>IF(C10=0,IF(I10&gt;0,1,0),D10/C10)</f>
        <v/>
      </c>
      <c r="I10" s="6">
        <f>COUNTIFS(Checklist!$A$5:$A$137,"6.*",Checklist!$J$5:$J$137,1,Checklist!$E$5:$E$137,"No aplica")</f>
        <v/>
      </c>
    </row>
    <row r="11">
      <c r="A11" s="6" t="n">
        <v>7</v>
      </c>
      <c r="B11" s="8" t="inlineStr">
        <is>
          <t>Interacción social y extensión universitaria</t>
        </is>
      </c>
      <c r="C11" s="6">
        <f>COUNTIFS(Checklist!$A$5:$A$137,"7.*",Checklist!$J$5:$J$137,1,Checklist!$E$5:$E$137,"&lt;&gt;No aplica")</f>
        <v/>
      </c>
      <c r="D11" s="6">
        <f>COUNTIFS(Checklist!$A$5:$A$137,"7.*",Checklist!$J$5:$J$137,1,Checklist!$E$5:$E$137,"Entregado")</f>
        <v/>
      </c>
      <c r="E11" s="6">
        <f>COUNTIFS(Checklist!$A$5:$A$137,"7.*",Checklist!$J$5:$J$137,1,Checklist!$E$5:$E$137,"Parcial")</f>
        <v/>
      </c>
      <c r="F11" s="6">
        <f>COUNTIFS(Checklist!$A$5:$A$137,"7.*",Checklist!$J$5:$J$137,1,Checklist!$E$5:$E$137,"Observado")</f>
        <v/>
      </c>
      <c r="G11" s="6">
        <f>COUNTIFS(Checklist!$A$5:$A$137,"7.*",Checklist!$J$5:$J$137,1,Checklist!$E$5:$E$137,"Pendiente")</f>
        <v/>
      </c>
      <c r="H11" s="20">
        <f>IF(C11=0,IF(I11&gt;0,1,0),D11/C11)</f>
        <v/>
      </c>
      <c r="I11" s="6">
        <f>COUNTIFS(Checklist!$A$5:$A$137,"7.*",Checklist!$J$5:$J$137,1,Checklist!$E$5:$E$137,"No aplica")</f>
        <v/>
      </c>
    </row>
    <row r="12">
      <c r="A12" s="6" t="n">
        <v>8</v>
      </c>
      <c r="B12" s="8" t="inlineStr">
        <is>
          <t>Organización del proceso curricular</t>
        </is>
      </c>
      <c r="C12" s="6">
        <f>COUNTIFS(Checklist!$A$5:$A$137,"8.*",Checklist!$J$5:$J$137,1,Checklist!$E$5:$E$137,"&lt;&gt;No aplica")</f>
        <v/>
      </c>
      <c r="D12" s="6">
        <f>COUNTIFS(Checklist!$A$5:$A$137,"8.*",Checklist!$J$5:$J$137,1,Checklist!$E$5:$E$137,"Entregado")</f>
        <v/>
      </c>
      <c r="E12" s="6">
        <f>COUNTIFS(Checklist!$A$5:$A$137,"8.*",Checklist!$J$5:$J$137,1,Checklist!$E$5:$E$137,"Parcial")</f>
        <v/>
      </c>
      <c r="F12" s="6">
        <f>COUNTIFS(Checklist!$A$5:$A$137,"8.*",Checklist!$J$5:$J$137,1,Checklist!$E$5:$E$137,"Observado")</f>
        <v/>
      </c>
      <c r="G12" s="6">
        <f>COUNTIFS(Checklist!$A$5:$A$137,"8.*",Checklist!$J$5:$J$137,1,Checklist!$E$5:$E$137,"Pendiente")</f>
        <v/>
      </c>
      <c r="H12" s="20">
        <f>IF(C12=0,IF(I12&gt;0,1,0),D12/C12)</f>
        <v/>
      </c>
      <c r="I12" s="6">
        <f>COUNTIFS(Checklist!$A$5:$A$137,"8.*",Checklist!$J$5:$J$137,1,Checklist!$E$5:$E$137,"No aplica")</f>
        <v/>
      </c>
    </row>
    <row r="13">
      <c r="A13" s="6" t="n">
        <v>9</v>
      </c>
      <c r="B13" s="8" t="inlineStr">
        <is>
          <t>Material Bibliográfico</t>
        </is>
      </c>
      <c r="C13" s="6">
        <f>COUNTIFS(Checklist!$A$5:$A$137,"9.*",Checklist!$J$5:$J$137,1,Checklist!$E$5:$E$137,"&lt;&gt;No aplica")</f>
        <v/>
      </c>
      <c r="D13" s="6">
        <f>COUNTIFS(Checklist!$A$5:$A$137,"9.*",Checklist!$J$5:$J$137,1,Checklist!$E$5:$E$137,"Entregado")</f>
        <v/>
      </c>
      <c r="E13" s="6">
        <f>COUNTIFS(Checklist!$A$5:$A$137,"9.*",Checklist!$J$5:$J$137,1,Checklist!$E$5:$E$137,"Parcial")</f>
        <v/>
      </c>
      <c r="F13" s="6">
        <f>COUNTIFS(Checklist!$A$5:$A$137,"9.*",Checklist!$J$5:$J$137,1,Checklist!$E$5:$E$137,"Observado")</f>
        <v/>
      </c>
      <c r="G13" s="6">
        <f>COUNTIFS(Checklist!$A$5:$A$137,"9.*",Checklist!$J$5:$J$137,1,Checklist!$E$5:$E$137,"Pendiente")</f>
        <v/>
      </c>
      <c r="H13" s="20">
        <f>IF(C13=0,IF(I13&gt;0,1,0),D13/C13)</f>
        <v/>
      </c>
      <c r="I13" s="6">
        <f>COUNTIFS(Checklist!$A$5:$A$137,"9.*",Checklist!$J$5:$J$137,1,Checklist!$E$5:$E$137,"No aplica")</f>
        <v/>
      </c>
    </row>
    <row r="14">
      <c r="A14" s="6" t="n">
        <v>10</v>
      </c>
      <c r="B14" s="8" t="inlineStr">
        <is>
          <t>Recursos educativos</t>
        </is>
      </c>
      <c r="C14" s="6">
        <f>COUNTIFS(Checklist!$A$5:$A$137,"10.*",Checklist!$J$5:$J$137,1,Checklist!$E$5:$E$137,"&lt;&gt;No aplica")</f>
        <v/>
      </c>
      <c r="D14" s="6">
        <f>COUNTIFS(Checklist!$A$5:$A$137,"10.*",Checklist!$J$5:$J$137,1,Checklist!$E$5:$E$137,"Entregado")</f>
        <v/>
      </c>
      <c r="E14" s="6">
        <f>COUNTIFS(Checklist!$A$5:$A$137,"10.*",Checklist!$J$5:$J$137,1,Checklist!$E$5:$E$137,"Parcial")</f>
        <v/>
      </c>
      <c r="F14" s="6">
        <f>COUNTIFS(Checklist!$A$5:$A$137,"10.*",Checklist!$J$5:$J$137,1,Checklist!$E$5:$E$137,"Observado")</f>
        <v/>
      </c>
      <c r="G14" s="6">
        <f>COUNTIFS(Checklist!$A$5:$A$137,"10.*",Checklist!$J$5:$J$137,1,Checklist!$E$5:$E$137,"Pendiente")</f>
        <v/>
      </c>
      <c r="H14" s="20">
        <f>IF(C14=0,IF(I14&gt;0,1,0),D14/C14)</f>
        <v/>
      </c>
      <c r="I14" s="6">
        <f>COUNTIFS(Checklist!$A$5:$A$137,"10.*",Checklist!$J$5:$J$137,1,Checklist!$E$5:$E$137,"No aplica")</f>
        <v/>
      </c>
    </row>
    <row r="15">
      <c r="A15" s="6" t="n">
        <v>11</v>
      </c>
      <c r="B15" s="8" t="inlineStr">
        <is>
          <t>Implementación del proyecto curricular</t>
        </is>
      </c>
      <c r="C15" s="6">
        <f>COUNTIFS(Checklist!$A$5:$A$137,"11.*",Checklist!$J$5:$J$137,1,Checklist!$E$5:$E$137,"&lt;&gt;No aplica")</f>
        <v/>
      </c>
      <c r="D15" s="6">
        <f>COUNTIFS(Checklist!$A$5:$A$137,"11.*",Checklist!$J$5:$J$137,1,Checklist!$E$5:$E$137,"Entregado")</f>
        <v/>
      </c>
      <c r="E15" s="6">
        <f>COUNTIFS(Checklist!$A$5:$A$137,"11.*",Checklist!$J$5:$J$137,1,Checklist!$E$5:$E$137,"Parcial")</f>
        <v/>
      </c>
      <c r="F15" s="6">
        <f>COUNTIFS(Checklist!$A$5:$A$137,"11.*",Checklist!$J$5:$J$137,1,Checklist!$E$5:$E$137,"Observado")</f>
        <v/>
      </c>
      <c r="G15" s="6">
        <f>COUNTIFS(Checklist!$A$5:$A$137,"11.*",Checklist!$J$5:$J$137,1,Checklist!$E$5:$E$137,"Pendiente")</f>
        <v/>
      </c>
      <c r="H15" s="20">
        <f>IF(C15=0,IF(I15&gt;0,1,0),D15/C15)</f>
        <v/>
      </c>
      <c r="I15" s="6">
        <f>COUNTIFS(Checklist!$A$5:$A$137,"11.*",Checklist!$J$5:$J$137,1,Checklist!$E$5:$E$137,"No aplica")</f>
        <v/>
      </c>
    </row>
    <row r="16">
      <c r="A16" s="6" t="n">
        <v>12</v>
      </c>
      <c r="B16" s="8" t="inlineStr">
        <is>
          <t>Evaluación Curricular</t>
        </is>
      </c>
      <c r="C16" s="6">
        <f>COUNTIFS(Checklist!$A$5:$A$137,"12.*",Checklist!$J$5:$J$137,1,Checklist!$E$5:$E$137,"&lt;&gt;No aplica")</f>
        <v/>
      </c>
      <c r="D16" s="6">
        <f>COUNTIFS(Checklist!$A$5:$A$137,"12.*",Checklist!$J$5:$J$137,1,Checklist!$E$5:$E$137,"Entregado")</f>
        <v/>
      </c>
      <c r="E16" s="6">
        <f>COUNTIFS(Checklist!$A$5:$A$137,"12.*",Checklist!$J$5:$J$137,1,Checklist!$E$5:$E$137,"Parcial")</f>
        <v/>
      </c>
      <c r="F16" s="6">
        <f>COUNTIFS(Checklist!$A$5:$A$137,"12.*",Checklist!$J$5:$J$137,1,Checklist!$E$5:$E$137,"Observado")</f>
        <v/>
      </c>
      <c r="G16" s="6">
        <f>COUNTIFS(Checklist!$A$5:$A$137,"12.*",Checklist!$J$5:$J$137,1,Checklist!$E$5:$E$137,"Pendiente")</f>
        <v/>
      </c>
      <c r="H16" s="20">
        <f>IF(C16=0,IF(I16&gt;0,1,0),D16/C16)</f>
        <v/>
      </c>
      <c r="I16" s="6">
        <f>COUNTIFS(Checklist!$A$5:$A$137,"12.*",Checklist!$J$5:$J$137,1,Checklist!$E$5:$E$137,"No aplica")</f>
        <v/>
      </c>
    </row>
    <row r="17">
      <c r="A17" s="6" t="n">
        <v>13</v>
      </c>
      <c r="B17" s="8" t="inlineStr">
        <is>
          <t>Reglamentación</t>
        </is>
      </c>
      <c r="C17" s="6">
        <f>COUNTIFS(Checklist!$A$5:$A$137,"13.*",Checklist!$J$5:$J$137,1,Checklist!$E$5:$E$137,"&lt;&gt;No aplica")</f>
        <v/>
      </c>
      <c r="D17" s="6">
        <f>COUNTIFS(Checklist!$A$5:$A$137,"13.*",Checklist!$J$5:$J$137,1,Checklist!$E$5:$E$137,"Entregado")</f>
        <v/>
      </c>
      <c r="E17" s="6">
        <f>COUNTIFS(Checklist!$A$5:$A$137,"13.*",Checklist!$J$5:$J$137,1,Checklist!$E$5:$E$137,"Parcial")</f>
        <v/>
      </c>
      <c r="F17" s="6">
        <f>COUNTIFS(Checklist!$A$5:$A$137,"13.*",Checklist!$J$5:$J$137,1,Checklist!$E$5:$E$137,"Observado")</f>
        <v/>
      </c>
      <c r="G17" s="6">
        <f>COUNTIFS(Checklist!$A$5:$A$137,"13.*",Checklist!$J$5:$J$137,1,Checklist!$E$5:$E$137,"Pendiente")</f>
        <v/>
      </c>
      <c r="H17" s="20">
        <f>IF(C17=0,IF(I17&gt;0,1,0),D17/C17)</f>
        <v/>
      </c>
      <c r="I17" s="6">
        <f>COUNTIFS(Checklist!$A$5:$A$137,"13.*",Checklist!$J$5:$J$137,1,Checklist!$E$5:$E$137,"No aplica")</f>
        <v/>
      </c>
    </row>
    <row r="18">
      <c r="A18" s="6" t="n">
        <v>14</v>
      </c>
      <c r="B18" s="8" t="inlineStr">
        <is>
          <t>Infraestructura y equipamiento</t>
        </is>
      </c>
      <c r="C18" s="6">
        <f>COUNTIFS(Checklist!$A$5:$A$137,"14.*",Checklist!$J$5:$J$137,1,Checklist!$E$5:$E$137,"&lt;&gt;No aplica")</f>
        <v/>
      </c>
      <c r="D18" s="6">
        <f>COUNTIFS(Checklist!$A$5:$A$137,"14.*",Checklist!$J$5:$J$137,1,Checklist!$E$5:$E$137,"Entregado")</f>
        <v/>
      </c>
      <c r="E18" s="6">
        <f>COUNTIFS(Checklist!$A$5:$A$137,"14.*",Checklist!$J$5:$J$137,1,Checklist!$E$5:$E$137,"Parcial")</f>
        <v/>
      </c>
      <c r="F18" s="6">
        <f>COUNTIFS(Checklist!$A$5:$A$137,"14.*",Checklist!$J$5:$J$137,1,Checklist!$E$5:$E$137,"Observado")</f>
        <v/>
      </c>
      <c r="G18" s="6">
        <f>COUNTIFS(Checklist!$A$5:$A$137,"14.*",Checklist!$J$5:$J$137,1,Checklist!$E$5:$E$137,"Pendiente")</f>
        <v/>
      </c>
      <c r="H18" s="20">
        <f>IF(C18=0,IF(I18&gt;0,1,0),D18/C18)</f>
        <v/>
      </c>
      <c r="I18" s="6">
        <f>COUNTIFS(Checklist!$A$5:$A$137,"14.*",Checklist!$J$5:$J$137,1,Checklist!$E$5:$E$137,"No aplica")</f>
        <v/>
      </c>
    </row>
    <row r="19">
      <c r="A19" s="6" t="n">
        <v>15</v>
      </c>
      <c r="B19" s="8" t="inlineStr">
        <is>
          <t>Mobiliario, equipamiento y materiales</t>
        </is>
      </c>
      <c r="C19" s="6">
        <f>COUNTIFS(Checklist!$A$5:$A$137,"15.*",Checklist!$J$5:$J$137,1,Checklist!$E$5:$E$137,"&lt;&gt;No aplica")</f>
        <v/>
      </c>
      <c r="D19" s="6">
        <f>COUNTIFS(Checklist!$A$5:$A$137,"15.*",Checklist!$J$5:$J$137,1,Checklist!$E$5:$E$137,"Entregado")</f>
        <v/>
      </c>
      <c r="E19" s="6">
        <f>COUNTIFS(Checklist!$A$5:$A$137,"15.*",Checklist!$J$5:$J$137,1,Checklist!$E$5:$E$137,"Parcial")</f>
        <v/>
      </c>
      <c r="F19" s="6">
        <f>COUNTIFS(Checklist!$A$5:$A$137,"15.*",Checklist!$J$5:$J$137,1,Checklist!$E$5:$E$137,"Observado")</f>
        <v/>
      </c>
      <c r="G19" s="6">
        <f>COUNTIFS(Checklist!$A$5:$A$137,"15.*",Checklist!$J$5:$J$137,1,Checklist!$E$5:$E$137,"Pendiente")</f>
        <v/>
      </c>
      <c r="H19" s="20">
        <f>IF(C19=0,IF(I19&gt;0,1,0),D19/C19)</f>
        <v/>
      </c>
      <c r="I19" s="6">
        <f>COUNTIFS(Checklist!$A$5:$A$137,"15.*",Checklist!$J$5:$J$137,1,Checklist!$E$5:$E$137,"No aplica")</f>
        <v/>
      </c>
    </row>
    <row r="20">
      <c r="A20" s="6" t="n">
        <v>16</v>
      </c>
      <c r="B20" s="8" t="inlineStr">
        <is>
          <t>Disposiciones de ejecución</t>
        </is>
      </c>
      <c r="C20" s="6">
        <f>COUNTIFS(Checklist!$A$5:$A$137,"16.*",Checklist!$J$5:$J$137,1,Checklist!$E$5:$E$137,"&lt;&gt;No aplica")</f>
        <v/>
      </c>
      <c r="D20" s="6">
        <f>COUNTIFS(Checklist!$A$5:$A$137,"16.*",Checklist!$J$5:$J$137,1,Checklist!$E$5:$E$137,"Entregado")</f>
        <v/>
      </c>
      <c r="E20" s="6">
        <f>COUNTIFS(Checklist!$A$5:$A$137,"16.*",Checklist!$J$5:$J$137,1,Checklist!$E$5:$E$137,"Parcial")</f>
        <v/>
      </c>
      <c r="F20" s="6">
        <f>COUNTIFS(Checklist!$A$5:$A$137,"16.*",Checklist!$J$5:$J$137,1,Checklist!$E$5:$E$137,"Observado")</f>
        <v/>
      </c>
      <c r="G20" s="6">
        <f>COUNTIFS(Checklist!$A$5:$A$137,"16.*",Checklist!$J$5:$J$137,1,Checklist!$E$5:$E$137,"Pendiente")</f>
        <v/>
      </c>
      <c r="H20" s="20">
        <f>IF(C20=0,IF(I20&gt;0,1,0),D20/C20)</f>
        <v/>
      </c>
      <c r="I20" s="6">
        <f>COUNTIFS(Checklist!$A$5:$A$137,"16.*",Checklist!$J$5:$J$137,1,Checklist!$E$5:$E$137,"No aplica")</f>
        <v/>
      </c>
    </row>
    <row r="21">
      <c r="A21" s="21" t="n"/>
      <c r="B21" s="22" t="inlineStr">
        <is>
          <t>TOTAL</t>
        </is>
      </c>
      <c r="C21" s="21">
        <f>SUM(C5:C20)</f>
        <v/>
      </c>
      <c r="D21" s="21">
        <f>SUM(D5:D20)</f>
        <v/>
      </c>
      <c r="E21" s="21">
        <f>SUM(E5:E20)</f>
        <v/>
      </c>
      <c r="F21" s="21">
        <f>SUM(F5:F20)</f>
        <v/>
      </c>
      <c r="G21" s="21">
        <f>SUM(G5:G20)</f>
        <v/>
      </c>
      <c r="H21" s="23">
        <f>IF(C21=0,IF(I21&gt;0,1,0),D21/C21)</f>
        <v/>
      </c>
      <c r="I21" s="21">
        <f>SUM(I5:I20)</f>
        <v/>
      </c>
    </row>
  </sheetData>
  <conditionalFormatting sqref="H5:H20">
    <cfRule type="dataBar" priority="1">
      <dataBar>
        <cfvo type="num" val="0"/>
        <cfvo type="num" val="1"/>
        <color rgb="FF4472C4"/>
      </dataBar>
    </cfRule>
  </conditionalFormatting>
  <pageMargins left="0.75" right="0.75" top="1" bottom="1" header="0.5" footer="0.5"/>
  <pageSetup orientation="portrait"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2026-10-12T03:00:20Z</dcterms:created>
  <dcterms:modified xmlns:dcterms="http://purl.org/dc/terms/" xmlns:xsi="http://www.w3.org/2001/XMLSchema-instance" xsi:type="dcterms:W3CDTF">2026-10-14T12:29:51Z</dcterms:modified>
  <cp:lastModifiedBy>Roberto Mauricio Ramos Callisaya</cp:lastModifiedBy>
</cp:coreProperties>
</file>