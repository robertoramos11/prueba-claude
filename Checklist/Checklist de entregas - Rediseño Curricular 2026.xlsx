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Mau\Rediseño\Puntos a consolidar\otros\"/>
    </mc:Choice>
  </mc:AlternateContent>
  <xr:revisionPtr revIDLastSave="0" documentId="13_ncr:1_{402B53B1-FEB4-4BFD-AA6D-A0C13F0DB3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hecklist" sheetId="1" r:id="rId1"/>
    <sheet name="Resumen" sheetId="2" r:id="rId2"/>
  </sheets>
  <definedNames>
    <definedName name="_xlnm._FilterDatabase" localSheetId="0" hidden="1">Checklist!$A$4:$I$137</definedName>
    <definedName name="_xlnm.Print_Titles" localSheetId="0">Checklist!$4:$4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  <c r="F20" i="2"/>
  <c r="E20" i="2"/>
  <c r="D20" i="2"/>
  <c r="C20" i="2"/>
  <c r="H20" i="2" s="1"/>
  <c r="G19" i="2"/>
  <c r="F19" i="2"/>
  <c r="E19" i="2"/>
  <c r="D19" i="2"/>
  <c r="C19" i="2"/>
  <c r="H19" i="2" s="1"/>
  <c r="G18" i="2"/>
  <c r="F18" i="2"/>
  <c r="E18" i="2"/>
  <c r="D18" i="2"/>
  <c r="C18" i="2"/>
  <c r="H18" i="2" s="1"/>
  <c r="G17" i="2"/>
  <c r="F17" i="2"/>
  <c r="E17" i="2"/>
  <c r="D17" i="2"/>
  <c r="H17" i="2" s="1"/>
  <c r="C17" i="2"/>
  <c r="G16" i="2"/>
  <c r="F16" i="2"/>
  <c r="E16" i="2"/>
  <c r="D16" i="2"/>
  <c r="C16" i="2"/>
  <c r="G15" i="2"/>
  <c r="F15" i="2"/>
  <c r="E15" i="2"/>
  <c r="D15" i="2"/>
  <c r="H15" i="2" s="1"/>
  <c r="C15" i="2"/>
  <c r="G14" i="2"/>
  <c r="F14" i="2"/>
  <c r="E14" i="2"/>
  <c r="D14" i="2"/>
  <c r="C14" i="2"/>
  <c r="G13" i="2"/>
  <c r="F13" i="2"/>
  <c r="E13" i="2"/>
  <c r="D13" i="2"/>
  <c r="H13" i="2" s="1"/>
  <c r="C13" i="2"/>
  <c r="G12" i="2"/>
  <c r="F12" i="2"/>
  <c r="E12" i="2"/>
  <c r="D12" i="2"/>
  <c r="C12" i="2"/>
  <c r="H12" i="2" s="1"/>
  <c r="H11" i="2"/>
  <c r="G11" i="2"/>
  <c r="F11" i="2"/>
  <c r="E11" i="2"/>
  <c r="D11" i="2"/>
  <c r="C11" i="2"/>
  <c r="G10" i="2"/>
  <c r="F10" i="2"/>
  <c r="E10" i="2"/>
  <c r="D10" i="2"/>
  <c r="C10" i="2"/>
  <c r="G9" i="2"/>
  <c r="F9" i="2"/>
  <c r="E9" i="2"/>
  <c r="D9" i="2"/>
  <c r="H9" i="2" s="1"/>
  <c r="C9" i="2"/>
  <c r="G8" i="2"/>
  <c r="F8" i="2"/>
  <c r="E8" i="2"/>
  <c r="D8" i="2"/>
  <c r="C8" i="2"/>
  <c r="G7" i="2"/>
  <c r="F7" i="2"/>
  <c r="E7" i="2"/>
  <c r="D7" i="2"/>
  <c r="H7" i="2" s="1"/>
  <c r="C7" i="2"/>
  <c r="G6" i="2"/>
  <c r="F6" i="2"/>
  <c r="E6" i="2"/>
  <c r="D6" i="2"/>
  <c r="C6" i="2"/>
  <c r="G5" i="2"/>
  <c r="F5" i="2"/>
  <c r="E5" i="2"/>
  <c r="D5" i="2"/>
  <c r="C5" i="2"/>
  <c r="F134" i="1"/>
  <c r="E134" i="1"/>
  <c r="F128" i="1"/>
  <c r="E128" i="1"/>
  <c r="F118" i="1"/>
  <c r="E118" i="1"/>
  <c r="F115" i="1"/>
  <c r="E115" i="1"/>
  <c r="F112" i="1"/>
  <c r="E112" i="1"/>
  <c r="F108" i="1"/>
  <c r="E108" i="1"/>
  <c r="F95" i="1"/>
  <c r="E95" i="1"/>
  <c r="F90" i="1"/>
  <c r="E90" i="1"/>
  <c r="F83" i="1"/>
  <c r="E83" i="1"/>
  <c r="F80" i="1"/>
  <c r="E80" i="1"/>
  <c r="F77" i="1"/>
  <c r="E77" i="1"/>
  <c r="F72" i="1"/>
  <c r="E72" i="1"/>
  <c r="F59" i="1"/>
  <c r="E59" i="1"/>
  <c r="E33" i="1" s="1"/>
  <c r="F54" i="1"/>
  <c r="E54" i="1"/>
  <c r="F48" i="1"/>
  <c r="E48" i="1"/>
  <c r="F40" i="1"/>
  <c r="E40" i="1"/>
  <c r="F33" i="1" s="1"/>
  <c r="F34" i="1"/>
  <c r="E34" i="1"/>
  <c r="F27" i="1"/>
  <c r="E27" i="1"/>
  <c r="F19" i="1"/>
  <c r="E19" i="1"/>
  <c r="F5" i="1"/>
  <c r="E5" i="1"/>
  <c r="G21" i="2" l="1"/>
  <c r="H6" i="2"/>
  <c r="H16" i="2"/>
  <c r="D21" i="2"/>
  <c r="F21" i="2"/>
  <c r="H14" i="2"/>
  <c r="H5" i="2"/>
  <c r="H8" i="2"/>
  <c r="E21" i="2"/>
  <c r="H10" i="2"/>
  <c r="C21" i="2"/>
  <c r="H21" i="2" l="1"/>
</calcChain>
</file>

<file path=xl/sharedStrings.xml><?xml version="1.0" encoding="utf-8"?>
<sst xmlns="http://schemas.openxmlformats.org/spreadsheetml/2006/main" count="837" uniqueCount="364">
  <si>
    <t>Rediseño Curricular 2026 · Control de entregas de las subcomisiones</t>
  </si>
  <si>
    <t>Carrera de Contaduría Pública · Facultad de Ciencias Económicas y Financieras · Universidad Mayor de San Andrés</t>
  </si>
  <si>
    <t>Código</t>
  </si>
  <si>
    <t>Punto del índice</t>
  </si>
  <si>
    <t>Responsable docente</t>
  </si>
  <si>
    <t>Responsable estudiantil</t>
  </si>
  <si>
    <t>Estado</t>
  </si>
  <si>
    <t>Fecha de recepción</t>
  </si>
  <si>
    <t>Formato recibido</t>
  </si>
  <si>
    <t>Adaptado al formato</t>
  </si>
  <si>
    <t>Observaciones</t>
  </si>
  <si>
    <t>Entregable</t>
  </si>
  <si>
    <t>1.</t>
  </si>
  <si>
    <t>Identificación del programa/carrera</t>
  </si>
  <si>
    <t>Edwin Gutiérrez Zapana</t>
  </si>
  <si>
    <t>Alarcon Pablo Alejandro</t>
  </si>
  <si>
    <t>—</t>
  </si>
  <si>
    <t>1.1</t>
  </si>
  <si>
    <t>Facultad</t>
  </si>
  <si>
    <t>Pendiente</t>
  </si>
  <si>
    <t>No</t>
  </si>
  <si>
    <t>1.2</t>
  </si>
  <si>
    <t>Programa/carrera</t>
  </si>
  <si>
    <t>1.3</t>
  </si>
  <si>
    <t>Fecha de creación y Resolución HCU</t>
  </si>
  <si>
    <t>1.4</t>
  </si>
  <si>
    <t>Resolución(es) HCU que aprobaron planes de estudio anteriores</t>
  </si>
  <si>
    <t>1.5</t>
  </si>
  <si>
    <t>Grado académico terminal</t>
  </si>
  <si>
    <t>1.6</t>
  </si>
  <si>
    <t>Grado(s) académico(s) intermedio(s)</t>
  </si>
  <si>
    <t>1.7</t>
  </si>
  <si>
    <t>Sede(s)</t>
  </si>
  <si>
    <t>1.8</t>
  </si>
  <si>
    <t>Diploma académico terminal</t>
  </si>
  <si>
    <t>1.9</t>
  </si>
  <si>
    <t>Diploma(s) académico(s) intermedio(s)</t>
  </si>
  <si>
    <t>1.10</t>
  </si>
  <si>
    <t>Título Profesional</t>
  </si>
  <si>
    <t>1.11</t>
  </si>
  <si>
    <t>Título(s) profesional(es) intermedio(s)</t>
  </si>
  <si>
    <t>1.12</t>
  </si>
  <si>
    <t>Modalidad(es) de docencia</t>
  </si>
  <si>
    <t>1.13</t>
  </si>
  <si>
    <t>Otras características</t>
  </si>
  <si>
    <t>2.</t>
  </si>
  <si>
    <t>Antecedentes</t>
  </si>
  <si>
    <t>Sin asignar</t>
  </si>
  <si>
    <t>2.1</t>
  </si>
  <si>
    <t>Datos generales del programa/carrera</t>
  </si>
  <si>
    <t>2.2</t>
  </si>
  <si>
    <t>Misión, visión de la carrera</t>
  </si>
  <si>
    <t>2.3</t>
  </si>
  <si>
    <t>Plan de desarrollo de la carrera</t>
  </si>
  <si>
    <t>2.4</t>
  </si>
  <si>
    <t>Objetivos del programa/carrera</t>
  </si>
  <si>
    <t>2.5</t>
  </si>
  <si>
    <t>Características del programa/carrera</t>
  </si>
  <si>
    <t>2.6</t>
  </si>
  <si>
    <t>Organigrama del programa/carrera</t>
  </si>
  <si>
    <t>2.7</t>
  </si>
  <si>
    <t>Estadísticas del programa/carrera</t>
  </si>
  <si>
    <t>3.</t>
  </si>
  <si>
    <t>Justificación de la innovación curricular (solo para niveles de diseño, rediseño y ajustes)</t>
  </si>
  <si>
    <t>Alberto Mendoza Mendoza</t>
  </si>
  <si>
    <t>Ayrton Javier Quisbert Fernandez</t>
  </si>
  <si>
    <t>3.1</t>
  </si>
  <si>
    <t>Análisis de resultados obtenidos con anteriores planes de estudio (descripción estadística y cualitativa)</t>
  </si>
  <si>
    <t>3.2</t>
  </si>
  <si>
    <t>Análisis de las políticas y normas (internacionales, nacionales y universitarias)</t>
  </si>
  <si>
    <t>3.3</t>
  </si>
  <si>
    <t>Análisis del contexto económico, estudio de mercado laboral e inserción laboral</t>
  </si>
  <si>
    <t>3.4</t>
  </si>
  <si>
    <t>Análisis del contexto de cambios y tendencias de la ciencia y tecnología a nivel global</t>
  </si>
  <si>
    <t>Humberto Quintanilla Muñoz</t>
  </si>
  <si>
    <t>Beymar Adalid Paucara Marquez</t>
  </si>
  <si>
    <t>3.5</t>
  </si>
  <si>
    <t>Contextualización de la oferta curricular en la realidad nacional e internacional</t>
  </si>
  <si>
    <t>4.</t>
  </si>
  <si>
    <t>Aspectos académicos</t>
  </si>
  <si>
    <t>Freddy Huanca Mamani</t>
  </si>
  <si>
    <t>Katherin Fabiola Ali Quispe</t>
  </si>
  <si>
    <t>4.1</t>
  </si>
  <si>
    <t>Fundamentos curriculares</t>
  </si>
  <si>
    <t>4.1.1</t>
  </si>
  <si>
    <t>Fundamentos epistemológicos</t>
  </si>
  <si>
    <t>4.1.2</t>
  </si>
  <si>
    <t>Fundamentos sociológicos antropológicos</t>
  </si>
  <si>
    <t>4.1.3</t>
  </si>
  <si>
    <t>Fundamentos psicológicos</t>
  </si>
  <si>
    <t>Jorge Cespedes Esteves</t>
  </si>
  <si>
    <t>Taiz Alejandra Cano Chuyma</t>
  </si>
  <si>
    <t>4.1.4</t>
  </si>
  <si>
    <t>Fundamentos educativos</t>
  </si>
  <si>
    <t>4.1.5</t>
  </si>
  <si>
    <t>Fundamentos axiológicos</t>
  </si>
  <si>
    <t>4.2</t>
  </si>
  <si>
    <t>Referentes disciplinares</t>
  </si>
  <si>
    <t>Hinojosa</t>
  </si>
  <si>
    <t>Melany Sarah Chavez Condori</t>
  </si>
  <si>
    <t>4.2.1</t>
  </si>
  <si>
    <t>Problemas que serán abordados por el profesional</t>
  </si>
  <si>
    <t>4.2.2</t>
  </si>
  <si>
    <t>Prospectiva de la profesión</t>
  </si>
  <si>
    <t>4.2.3</t>
  </si>
  <si>
    <t>Caracterización de la práctica de la profesión (áreas de acción y funciones)</t>
  </si>
  <si>
    <t>4.2.4</t>
  </si>
  <si>
    <t>Objeto de la profesión</t>
  </si>
  <si>
    <t>4.2.5</t>
  </si>
  <si>
    <t>Objetivo de la profesión</t>
  </si>
  <si>
    <t>4.2.6</t>
  </si>
  <si>
    <t>Competencias específicas de la profesión</t>
  </si>
  <si>
    <t>4.2.7</t>
  </si>
  <si>
    <t>Perfil profesional</t>
  </si>
  <si>
    <t>4.3</t>
  </si>
  <si>
    <t>Plan de estudios propuesto</t>
  </si>
  <si>
    <t>Mendoza Elias</t>
  </si>
  <si>
    <t>Gisela Leila Fernandez Cazas</t>
  </si>
  <si>
    <t>4.3.1</t>
  </si>
  <si>
    <t>Modelo curricular</t>
  </si>
  <si>
    <t>4.3.2</t>
  </si>
  <si>
    <t>Principios del modelo</t>
  </si>
  <si>
    <t>4.3.3</t>
  </si>
  <si>
    <t>Objetivo general del diseño, rediseño o ajuste</t>
  </si>
  <si>
    <t>Madeny</t>
  </si>
  <si>
    <t>Melisa Canaviri</t>
  </si>
  <si>
    <t>4.3.4</t>
  </si>
  <si>
    <t>Objetivos específicos del diseño, rediseño o ajuste</t>
  </si>
  <si>
    <t>4.3.5</t>
  </si>
  <si>
    <t>Duración de la carrera en años o semestres</t>
  </si>
  <si>
    <t>4.4</t>
  </si>
  <si>
    <t>Estructura curricular</t>
  </si>
  <si>
    <t>Comisión Supra</t>
  </si>
  <si>
    <t>4.4.1</t>
  </si>
  <si>
    <t>Descripción de la organización curricular (organización de la asignatura por áreas o ejes de conocimiento)</t>
  </si>
  <si>
    <t>4.4.2</t>
  </si>
  <si>
    <t>Mapa de competencia (competencia y unidades de competencia)</t>
  </si>
  <si>
    <t>4.4.3</t>
  </si>
  <si>
    <t>Malla curricular (siglas, nombres de la asignatura, carga horaria, créditos, prerrequisitos) por ciclos y semestres/año</t>
  </si>
  <si>
    <t>4.4.4</t>
  </si>
  <si>
    <t>Cuadro de asignación de cargas horarias presenciales, no presenciales, (según formato)</t>
  </si>
  <si>
    <t>4.5</t>
  </si>
  <si>
    <t>Planes de asignatura (descripción de la asignatura)</t>
  </si>
  <si>
    <t>Subcomisiones por área</t>
  </si>
  <si>
    <t>4.5-a</t>
  </si>
  <si>
    <t>Subcomisión Información Financiera General</t>
  </si>
  <si>
    <t>Gonzalo Terán Gandarillas / Edwin Gutiérrez Zapana</t>
  </si>
  <si>
    <t>Jose David Huanca Callizaya / Elva Danitza Cachaga Alanoca</t>
  </si>
  <si>
    <t>4.5-b</t>
  </si>
  <si>
    <t>Subcomisión Información Financiera Especializada</t>
  </si>
  <si>
    <t>Edith Esther López Mamani / Guido Rogelio Yujra Segales</t>
  </si>
  <si>
    <t>Leonardo Fabio Oblitas Flores / Marco Marcelo Escobar Bozo</t>
  </si>
  <si>
    <t>4.5-c</t>
  </si>
  <si>
    <t>Subcomisión Servicios de Aseguramiento y No Aseguramiento</t>
  </si>
  <si>
    <t>Martin Calani / Víctor Delfín Pelaez Mariscal</t>
  </si>
  <si>
    <t>Valery Tatiana Chuquimia Rojas / Rocio del Alba Flores Colque</t>
  </si>
  <si>
    <t>4.5-d</t>
  </si>
  <si>
    <t>Subcomisión Sistemas</t>
  </si>
  <si>
    <t>Juan Carlos Lea Plaza Lopez / Miguel Cotaña Mier</t>
  </si>
  <si>
    <t>Pillco Yana Camila / Zambrana Barrionuevo Jheferson</t>
  </si>
  <si>
    <t>4.5-e</t>
  </si>
  <si>
    <t>Subcomisión Administración</t>
  </si>
  <si>
    <t>Juan Carlos Sánchez Bolaños / Orlando Alfato</t>
  </si>
  <si>
    <t>Luz Alejandra Chavez Conde / Nicol Tatiana Cornejo Choque</t>
  </si>
  <si>
    <t>4.5-f</t>
  </si>
  <si>
    <t>Subcomisión Derecho</t>
  </si>
  <si>
    <t>Walter Marcelo Torrez Quispe / Ricardo Ramiro Tola Fernández</t>
  </si>
  <si>
    <t>Anthony Alexander Espinoza Gutierrez / Fernanda Camila Gonzales Quispe</t>
  </si>
  <si>
    <t>4.5-g</t>
  </si>
  <si>
    <t>Subcomisión Economía</t>
  </si>
  <si>
    <t>Luis Medina Rivero / Espejo Davalos Juvenal</t>
  </si>
  <si>
    <t>Carla Isabel Huiza Callisaya / Jhamil Sander Quispe Mamani</t>
  </si>
  <si>
    <t>4.5-h</t>
  </si>
  <si>
    <t>Subcomisión Metodología de la Investigación</t>
  </si>
  <si>
    <t>Sigfrido Ariel Burgoa Cortez / Jorge Cespedes Esteves</t>
  </si>
  <si>
    <t>4.5-i</t>
  </si>
  <si>
    <t>Subcomisión Matemática</t>
  </si>
  <si>
    <t>Darío David Yujra Crespo / Domingo Julio Pérez Centellas</t>
  </si>
  <si>
    <t>Eileen Juarez Flores / Jaime Andres Patty Lazcano</t>
  </si>
  <si>
    <t>4.6</t>
  </si>
  <si>
    <t>Estrategias de aprendizaje y estrategias de enseñanza (estrategias, métodos, tipos, recursos)</t>
  </si>
  <si>
    <t>4.7</t>
  </si>
  <si>
    <t>Evaluación de aprendizajes (estrategias, métodos, tipos, procedimientos, instrumentos y pruebas a desarrollar)</t>
  </si>
  <si>
    <t>4.8</t>
  </si>
  <si>
    <t>Prácticas preprofesionales</t>
  </si>
  <si>
    <t>5.</t>
  </si>
  <si>
    <t>Admisión, promoción y graduación</t>
  </si>
  <si>
    <t>Daniel Laura Choque</t>
  </si>
  <si>
    <t>Sandra Alison Maidana Mamani</t>
  </si>
  <si>
    <t>5.1</t>
  </si>
  <si>
    <t>Perfil del postulante</t>
  </si>
  <si>
    <t>5.2</t>
  </si>
  <si>
    <t>Modalidades de admisión</t>
  </si>
  <si>
    <t>5.3</t>
  </si>
  <si>
    <t>Condiciones de permanencia, licencias, suspensiones, plazo máximo de reincorporación, abandono, etc.</t>
  </si>
  <si>
    <t>Jorge Ordoñez Oporto</t>
  </si>
  <si>
    <t>Josue Pilco Tito</t>
  </si>
  <si>
    <t>5.4</t>
  </si>
  <si>
    <t>Modalidades de graduación</t>
  </si>
  <si>
    <t>6.</t>
  </si>
  <si>
    <t>Investigación (articulada con los institutos o unidades de investigación relacionados con la carrera/programa)</t>
  </si>
  <si>
    <t>Gustavo Adolfo Aguilar Huanca</t>
  </si>
  <si>
    <t>6.1</t>
  </si>
  <si>
    <t>Políticas de investigación</t>
  </si>
  <si>
    <t>6.2</t>
  </si>
  <si>
    <t>Líneas de investigación</t>
  </si>
  <si>
    <t>7.</t>
  </si>
  <si>
    <t>Interacción social y extensión universitaria</t>
  </si>
  <si>
    <t>Edith Esther López Mamani</t>
  </si>
  <si>
    <t>Analia Calle Mita</t>
  </si>
  <si>
    <t>7.1</t>
  </si>
  <si>
    <t>Políticas y líneas de interacción social</t>
  </si>
  <si>
    <t>7.2</t>
  </si>
  <si>
    <t>Políticas y líneas de extensión universitaria</t>
  </si>
  <si>
    <t>8.</t>
  </si>
  <si>
    <t>Organización del proceso curricular</t>
  </si>
  <si>
    <t>8.1</t>
  </si>
  <si>
    <t>Número de semanas lectivas por semestre/año</t>
  </si>
  <si>
    <t>8.2</t>
  </si>
  <si>
    <t>Número de horas cronológicas por semana</t>
  </si>
  <si>
    <t>8.3</t>
  </si>
  <si>
    <t>Total de horas planificadas</t>
  </si>
  <si>
    <t>8.4</t>
  </si>
  <si>
    <t>Carga horaria cronológica en actividades de investigación</t>
  </si>
  <si>
    <t>8.5</t>
  </si>
  <si>
    <t>Sistema de créditos</t>
  </si>
  <si>
    <t>8.6</t>
  </si>
  <si>
    <t>Número de estudiantes por asignatura</t>
  </si>
  <si>
    <t>9.</t>
  </si>
  <si>
    <t>Material Bibliográfico</t>
  </si>
  <si>
    <t>Demetrio Ancalle Choque</t>
  </si>
  <si>
    <t>Wendy Callizaya Pocoaca</t>
  </si>
  <si>
    <t>9.1</t>
  </si>
  <si>
    <t>Textos físicos y digitales (suficiencia cuantitativa y cualitativa)</t>
  </si>
  <si>
    <t>9.2</t>
  </si>
  <si>
    <t>Suscripción a revistas de reconocido prestigio especializado</t>
  </si>
  <si>
    <t>9.3</t>
  </si>
  <si>
    <t>Conexión a sistemas de información nacional o internacional</t>
  </si>
  <si>
    <t>Maria del Carmen Pinell Varcarcel</t>
  </si>
  <si>
    <t>Alex Jesus Huanca Uscamayta</t>
  </si>
  <si>
    <t>9.4</t>
  </si>
  <si>
    <t>Internet, sistema de red o wifi</t>
  </si>
  <si>
    <t>10.</t>
  </si>
  <si>
    <t>Recursos educativos</t>
  </si>
  <si>
    <t>Miguel Cotaña Mier</t>
  </si>
  <si>
    <t>Camila Lampa Choque</t>
  </si>
  <si>
    <t>10.1</t>
  </si>
  <si>
    <t>Equipos multimedia</t>
  </si>
  <si>
    <t>10.2</t>
  </si>
  <si>
    <t>Computadora en red</t>
  </si>
  <si>
    <t>10.3</t>
  </si>
  <si>
    <t>Software</t>
  </si>
  <si>
    <t>10.4</t>
  </si>
  <si>
    <t>Laboratorios</t>
  </si>
  <si>
    <t>10.5</t>
  </si>
  <si>
    <t>Material audiovisual</t>
  </si>
  <si>
    <t>Maria Joaquina Salinas Terceros</t>
  </si>
  <si>
    <t>10.6</t>
  </si>
  <si>
    <t>Medios didácticos informáticos</t>
  </si>
  <si>
    <t>10.7</t>
  </si>
  <si>
    <t>Soportes físicos</t>
  </si>
  <si>
    <t>10.8</t>
  </si>
  <si>
    <t>Programas informáticos educativos</t>
  </si>
  <si>
    <t>10.9</t>
  </si>
  <si>
    <t>Medios interactivos</t>
  </si>
  <si>
    <t>10.10</t>
  </si>
  <si>
    <t>Multimedia e internet</t>
  </si>
  <si>
    <t>Magna Rosmery Layme Llanos</t>
  </si>
  <si>
    <t>Mayumi Evelin Quispe Mamani</t>
  </si>
  <si>
    <t>10.11</t>
  </si>
  <si>
    <t>Servicios telemáticos</t>
  </si>
  <si>
    <t>10.12</t>
  </si>
  <si>
    <t>Entornos virtuales de enseñanza y aprendizaje</t>
  </si>
  <si>
    <t>11.</t>
  </si>
  <si>
    <t>Implementación del proyecto curricular</t>
  </si>
  <si>
    <t>Nazareth Samia Espejo Ticonipa</t>
  </si>
  <si>
    <t>11.1</t>
  </si>
  <si>
    <t>Infraestructura, equipamiento y sistemas de soporte informático</t>
  </si>
  <si>
    <t>11.2</t>
  </si>
  <si>
    <t>Recursos humanos</t>
  </si>
  <si>
    <t>Guido Rogelio Yujra Segales</t>
  </si>
  <si>
    <t>Maya Jazmin Manzaneda Flores</t>
  </si>
  <si>
    <t>11.3</t>
  </si>
  <si>
    <t>Política presupuestaria y financiera</t>
  </si>
  <si>
    <t>12.</t>
  </si>
  <si>
    <t>Evaluación Curricular</t>
  </si>
  <si>
    <t>Luis Enrique Hinojosa Rodríguez</t>
  </si>
  <si>
    <t>Camila Nicol Zuñiga Estrada</t>
  </si>
  <si>
    <t>12.1</t>
  </si>
  <si>
    <t>Lineamientos para la evaluación curricular</t>
  </si>
  <si>
    <t>12.2</t>
  </si>
  <si>
    <t>Estrategias de seguimiento a titulados</t>
  </si>
  <si>
    <t>Lizeth Matilde Carvajal Callisaya</t>
  </si>
  <si>
    <t>13.</t>
  </si>
  <si>
    <t>Reglamentación</t>
  </si>
  <si>
    <t>Esperanza Mejillones Rodriguez</t>
  </si>
  <si>
    <t>Camila Andrea Quispe Mollocuaquira</t>
  </si>
  <si>
    <t>13.1</t>
  </si>
  <si>
    <t>Reglamentos académicos y administrativos</t>
  </si>
  <si>
    <t>13.2</t>
  </si>
  <si>
    <t>Reglamentación del centro de investigación</t>
  </si>
  <si>
    <t>Ausberto Choque</t>
  </si>
  <si>
    <t>Herlan Nelson Rodriguez Mendoza</t>
  </si>
  <si>
    <t>14.</t>
  </si>
  <si>
    <t>Infraestructura y equipamiento</t>
  </si>
  <si>
    <t>Juvenal Espejo</t>
  </si>
  <si>
    <t>Ruth Sarai Arriague Gonzales</t>
  </si>
  <si>
    <t>14.1</t>
  </si>
  <si>
    <t>Aulas (físicas o virtuales)</t>
  </si>
  <si>
    <t>14.2</t>
  </si>
  <si>
    <t>Tecnología audiovisual</t>
  </si>
  <si>
    <t>14.3</t>
  </si>
  <si>
    <t>Laboratorios/talleres</t>
  </si>
  <si>
    <t>14.4</t>
  </si>
  <si>
    <t>Áreas de biblioteca, hemeroteca e información dura o digital</t>
  </si>
  <si>
    <t>14.5</t>
  </si>
  <si>
    <t>Salas de computación y computadores estacionales y portátiles</t>
  </si>
  <si>
    <t>14.6</t>
  </si>
  <si>
    <t>Ambientes administrativos y sala de docentes</t>
  </si>
  <si>
    <t>Javier Mendoza Elias</t>
  </si>
  <si>
    <t>Andre Alexandro Echeverria Mamani</t>
  </si>
  <si>
    <t>14.7</t>
  </si>
  <si>
    <t>Áreas de interacción social, cultural y deportiva</t>
  </si>
  <si>
    <t>14.8</t>
  </si>
  <si>
    <t>Infraestructura sanitaria para docentes, estudiantes y administrativos</t>
  </si>
  <si>
    <t>14.9</t>
  </si>
  <si>
    <t>15.</t>
  </si>
  <si>
    <t>Mobiliario, equipamiento y materiales</t>
  </si>
  <si>
    <t>Hernan Alvarado</t>
  </si>
  <si>
    <t>Angeles Iraya Mendoza Gutierrez</t>
  </si>
  <si>
    <t>15.1</t>
  </si>
  <si>
    <t>Depósitos de materiales</t>
  </si>
  <si>
    <t>15.2</t>
  </si>
  <si>
    <t>Depósitos de equipamiento almacenes</t>
  </si>
  <si>
    <t>15.3</t>
  </si>
  <si>
    <t>Sala de espera</t>
  </si>
  <si>
    <t>Angel Quisbert</t>
  </si>
  <si>
    <t>Sergio Esteban Zambrana Fariñas</t>
  </si>
  <si>
    <t>15.4</t>
  </si>
  <si>
    <t>Archivo físico</t>
  </si>
  <si>
    <t>15.5</t>
  </si>
  <si>
    <t>Archivo digital</t>
  </si>
  <si>
    <t>16.</t>
  </si>
  <si>
    <t>Disposiciones de ejecución</t>
  </si>
  <si>
    <t>Adhemar Carlos Palacios Choque</t>
  </si>
  <si>
    <t>16.1</t>
  </si>
  <si>
    <t>Cuadro de convalidación y homologación</t>
  </si>
  <si>
    <t>16.2</t>
  </si>
  <si>
    <t>Plan de implementación</t>
  </si>
  <si>
    <t>Gonzalo Terán Gandarillas</t>
  </si>
  <si>
    <t>Yesenia Chino Condori</t>
  </si>
  <si>
    <t>16.3</t>
  </si>
  <si>
    <t>Política de extinción del plan de estudio</t>
  </si>
  <si>
    <t>Resumen de avance por punto</t>
  </si>
  <si>
    <t>Se calcula solo con los ítems entregables de la hoja Checklist.</t>
  </si>
  <si>
    <t>Punto</t>
  </si>
  <si>
    <t>Título</t>
  </si>
  <si>
    <t>Ítems</t>
  </si>
  <si>
    <t>Entregados</t>
  </si>
  <si>
    <t>Parciales</t>
  </si>
  <si>
    <t>Observados</t>
  </si>
  <si>
    <t>Pendientes</t>
  </si>
  <si>
    <t>Avance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</si>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</sst>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4"/>
      <color rgb="FF4472C4"/>
      <name val="Century Gothic"/>
    </font>
    <font>
      <i/>
      <sz val="10"/>
      <color rgb="FF595959"/>
      <name val="Century Gothic"/>
    </font>
    <font>
      <b/>
      <sz val="10"/>
      <color rgb="FFFFFFFF"/>
      <name val="Century Gothic"/>
    </font>
    <font>
      <sz val="10"/>
      <name val="Century Gothic"/>
    </font>
    <font>
      <b/>
      <sz val="10"/>
      <name val="Century Gothic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9" fontId="5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</patternFill>
      </fill>
    </dxf>
    <dxf>
      <font>
        <b/>
        <color rgb="FF9C0006"/>
        <name val="Century Gothic"/>
      </font>
      <fill>
        <patternFill patternType="solid">
          <fgColor rgb="FFFFC7CE"/>
        </patternFill>
      </fill>
    </dxf>
    <dxf>
      <font>
        <b/>
        <color rgb="FF9C5700"/>
        <name val="Century Gothic"/>
      </font>
      <fill>
        <patternFill patternType="solid">
          <fgColor rgb="FFFFEB9C"/>
        </patternFill>
      </fill>
    </dxf>
    <dxf>
      <font>
        <b/>
        <color rgb="FF9C5700"/>
        <name val="Century Gothic"/>
      </font>
      <fill>
        <patternFill patternType="solid">
          <fgColor rgb="FFFFEB9C"/>
        </patternFill>
      </fill>
    </dxf>
    <dxf>
      <font>
        <b/>
        <color rgb="FF006100"/>
        <name val="Century Gothic"/>
      </font>
      <fill>
        <patternFill patternType="solid">
          <fgColor rgb="FFC6EFCE"/>
        </patternFill>
      </fill>
    </dxf>
    <dxf>
      <font>
        <b/>
        <color rgb="FF006100"/>
        <name val="Century Gothic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37"/>
  <sheetViews>
    <sheetView tabSelected="1" workbookViewId="0">
      <pane xSplit="2" ySplit="4" topLeftCell="D71" activePane="bottomRight" state="frozen"/>
      <selection pane="topRight"/>
      <selection pane="bottomLeft"/>
      <selection pane="bottomRight" activeCell="I42" sqref="I42"/>
    </sheetView>
  </sheetViews>
  <sheetFormatPr baseColWidth="10" defaultColWidth="8.88671875" defaultRowHeight="14.4" x14ac:dyDescent="0.3"/>
  <cols>
    <col min="1" max="1" width="8" customWidth="1"/>
    <col min="2" max="2" width="58" customWidth="1"/>
    <col min="3" max="4" width="30" customWidth="1"/>
    <col min="5" max="5" width="15" customWidth="1"/>
    <col min="6" max="7" width="13" customWidth="1"/>
    <col min="8" max="8" width="12" customWidth="1"/>
    <col min="9" max="9" width="40" customWidth="1"/>
    <col min="10" max="10" width="6" hidden="1" customWidth="1"/>
  </cols>
  <sheetData>
    <row r="1" spans="1:10" ht="17.399999999999999" x14ac:dyDescent="0.3">
      <c r="A1" s="1" t="s">
        <v>0</v>
      </c>
    </row>
    <row r="2" spans="1:10" x14ac:dyDescent="0.3">
      <c r="A2" s="2" t="s">
        <v>1</v>
      </c>
    </row>
    <row r="4" spans="1:10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3" t="s">
        <v>12</v>
      </c>
      <c r="B5" s="4" t="s">
        <v>13</v>
      </c>
      <c r="C5" s="4" t="s">
        <v>14</v>
      </c>
      <c r="D5" s="4" t="s">
        <v>15</v>
      </c>
      <c r="E5" s="3" t="str">
        <f>IF(SUMPRODUCT(($J$6:$J$18=1)*($E$6:$E$18="Entregado"))=SUMPRODUCT(($J$6:$J$18=1)*1),"Completo",IF(SUMPRODUCT(($J$6:$J$18=1)*($E$6:$E$18="Pendiente"))=SUMPRODUCT(($J$6:$J$18=1)*1),"Pendiente","En proceso"))</f>
      </c>
      <c r="F5" s="3" t="str">
        <f>SUMPRODUCT(($J$6:$J$18=1)*($E$6:$E$18="Entregado"))&amp;" de "&amp;SUMPRODUCT(($J$6:$J$18=1)*1)</f>
      </c>
      <c r="G5" s="3" t="s">
        <v>16</v>
      </c>
      <c r="H5" s="3" t="s">
        <v>16</v>
      </c>
      <c r="I5" s="5"/>
      <c r="J5" s="3">
        <v>0</v>
      </c>
    </row>
    <row r="6" spans="1:10" x14ac:dyDescent="0.3">
      <c r="A6" s="6" t="s">
        <v>17</v>
      </c>
      <c r="B6" s="7" t="s">
        <v>18</v>
      </c>
      <c r="C6" s="8" t="s">
        <v>14</v>
      </c>
      <c r="D6" s="8" t="s">
        <v>15</v>
      </c>
      <c r="E6" s="6" t="inlineStr">
        <is>
          <t xml:space="preserve">Entregado</t>
        </is>
      </c>
      <c r="F6" s="9" t="n">
        <v>46307</v>
      </c>
      <c r="G6" s="6" t="inlineStr">
        <is>
          <t xml:space="preserve">Word</t>
        </is>
      </c>
      <c r="H6" s="6" t="inlineStr">
        <is>
          <t xml:space="preserve">Sí</t>
        </is>
      </c>
      <c r="I6" s="10" t="inlineStr">
        <is>
          <t xml:space="preserve">Documento Primera Parte Entrega. Adaptado en: 1. Identificación del programa-carrera.docx</t>
        </is>
      </c>
      <c r="J6" s="6">
        <v>1</v>
      </c>
    </row>
    <row r="7" spans="1:10" x14ac:dyDescent="0.3">
      <c r="A7" s="6" t="s">
        <v>21</v>
      </c>
      <c r="B7" s="7" t="s">
        <v>22</v>
      </c>
      <c r="C7" s="8" t="s">
        <v>14</v>
      </c>
      <c r="D7" s="8" t="s">
        <v>15</v>
      </c>
      <c r="E7" s="6" t="inlineStr">
        <is>
          <t xml:space="preserve">Entregado</t>
        </is>
      </c>
      <c r="F7" s="9" t="n">
        <v>46307</v>
      </c>
      <c r="G7" s="6" t="inlineStr">
        <is>
          <t xml:space="preserve">Word</t>
        </is>
      </c>
      <c r="H7" s="6" t="inlineStr">
        <is>
          <t xml:space="preserve">Sí</t>
        </is>
      </c>
      <c r="I7" s="10" t="inlineStr">
        <is>
          <t xml:space="preserve">Documento Primera Parte Entrega. Adaptado en: 1. Identificación del programa-carrera.docx</t>
        </is>
      </c>
      <c r="J7" s="6">
        <v>1</v>
      </c>
    </row>
    <row r="8" spans="1:10" x14ac:dyDescent="0.3">
      <c r="A8" s="6" t="s">
        <v>23</v>
      </c>
      <c r="B8" s="7" t="s">
        <v>24</v>
      </c>
      <c r="C8" s="8" t="s">
        <v>14</v>
      </c>
      <c r="D8" s="8" t="s">
        <v>15</v>
      </c>
      <c r="E8" s="6" t="inlineStr">
        <is>
          <t xml:space="preserve">Entregado</t>
        </is>
      </c>
      <c r="F8" s="9" t="n">
        <v>46307</v>
      </c>
      <c r="G8" s="6" t="inlineStr">
        <is>
          <t xml:space="preserve">Word</t>
        </is>
      </c>
      <c r="H8" s="6" t="inlineStr">
        <is>
          <t xml:space="preserve">Sí</t>
        </is>
      </c>
      <c r="I8" s="10" t="inlineStr">
        <is>
          <t xml:space="preserve">Documento Primera Parte Entrega. Adaptado en: 1. Identificación del programa-carrera.docx</t>
        </is>
      </c>
      <c r="J8" s="6">
        <v>1</v>
      </c>
    </row>
    <row r="9" spans="1:10" ht="26.4" x14ac:dyDescent="0.3">
      <c r="A9" s="6" t="s">
        <v>25</v>
      </c>
      <c r="B9" s="7" t="s">
        <v>26</v>
      </c>
      <c r="C9" s="8" t="s">
        <v>14</v>
      </c>
      <c r="D9" s="8" t="s">
        <v>15</v>
      </c>
      <c r="E9" s="6" t="inlineStr">
        <is>
          <t xml:space="preserve">Entregado</t>
        </is>
      </c>
      <c r="F9" s="9" t="n">
        <v>46307</v>
      </c>
      <c r="G9" s="6" t="inlineStr">
        <is>
          <t xml:space="preserve">Word</t>
        </is>
      </c>
      <c r="H9" s="6" t="inlineStr">
        <is>
          <t xml:space="preserve">Sí</t>
        </is>
      </c>
      <c r="I9" s="10" t="inlineStr">
        <is>
          <t xml:space="preserve">Documento Primera Parte Entrega. Adaptado en: 1. Identificación del programa-carrera.docx</t>
        </is>
      </c>
      <c r="J9" s="6">
        <v>1</v>
      </c>
    </row>
    <row r="10" spans="1:10" x14ac:dyDescent="0.3">
      <c r="A10" s="6" t="s">
        <v>27</v>
      </c>
      <c r="B10" s="7" t="s">
        <v>28</v>
      </c>
      <c r="C10" s="8" t="s">
        <v>14</v>
      </c>
      <c r="D10" s="8" t="s">
        <v>15</v>
      </c>
      <c r="E10" s="6" t="inlineStr">
        <is>
          <t xml:space="preserve">Entregado</t>
        </is>
      </c>
      <c r="F10" s="9" t="n">
        <v>46307</v>
      </c>
      <c r="G10" s="6" t="inlineStr">
        <is>
          <t xml:space="preserve">Word</t>
        </is>
      </c>
      <c r="H10" s="6" t="inlineStr">
        <is>
          <t xml:space="preserve">Sí</t>
        </is>
      </c>
      <c r="I10" s="10" t="inlineStr">
        <is>
          <t xml:space="preserve">Documento Primera Parte Entrega. Adaptado en: 1. Identificación del programa-carrera.docx</t>
        </is>
      </c>
      <c r="J10" s="6">
        <v>1</v>
      </c>
    </row>
    <row r="11" spans="1:10" x14ac:dyDescent="0.3">
      <c r="A11" s="6" t="s">
        <v>29</v>
      </c>
      <c r="B11" s="7" t="s">
        <v>30</v>
      </c>
      <c r="C11" s="8" t="s">
        <v>14</v>
      </c>
      <c r="D11" s="8" t="s">
        <v>15</v>
      </c>
      <c r="E11" s="6" t="inlineStr">
        <is>
          <t xml:space="preserve">Entregado</t>
        </is>
      </c>
      <c r="F11" s="9" t="n">
        <v>46307</v>
      </c>
      <c r="G11" s="6" t="inlineStr">
        <is>
          <t xml:space="preserve">Word</t>
        </is>
      </c>
      <c r="H11" s="6" t="inlineStr">
        <is>
          <t xml:space="preserve">Sí</t>
        </is>
      </c>
      <c r="I11" s="10" t="inlineStr">
        <is>
          <t xml:space="preserve">Documento Primera Parte Entrega. Adaptado en: 1. Identificación del programa-carrera.docx</t>
        </is>
      </c>
      <c r="J11" s="6">
        <v>1</v>
      </c>
    </row>
    <row r="12" spans="1:10" x14ac:dyDescent="0.3">
      <c r="A12" s="6" t="s">
        <v>31</v>
      </c>
      <c r="B12" s="7" t="s">
        <v>32</v>
      </c>
      <c r="C12" s="8" t="s">
        <v>14</v>
      </c>
      <c r="D12" s="8" t="s">
        <v>15</v>
      </c>
      <c r="E12" s="6" t="inlineStr">
        <is>
          <t xml:space="preserve">Entregado</t>
        </is>
      </c>
      <c r="F12" s="9" t="n">
        <v>46307</v>
      </c>
      <c r="G12" s="6" t="inlineStr">
        <is>
          <t xml:space="preserve">Word</t>
        </is>
      </c>
      <c r="H12" s="6" t="inlineStr">
        <is>
          <t xml:space="preserve">Sí</t>
        </is>
      </c>
      <c r="I12" s="10" t="inlineStr">
        <is>
          <t xml:space="preserve">Documento Primera Parte Entrega. Adaptado en: 1. Identificación del programa-carrera.docx</t>
        </is>
      </c>
      <c r="J12" s="6">
        <v>1</v>
      </c>
    </row>
    <row r="13" spans="1:10" x14ac:dyDescent="0.3">
      <c r="A13" s="6" t="s">
        <v>33</v>
      </c>
      <c r="B13" s="7" t="s">
        <v>34</v>
      </c>
      <c r="C13" s="8" t="s">
        <v>14</v>
      </c>
      <c r="D13" s="8" t="s">
        <v>15</v>
      </c>
      <c r="E13" s="6" t="inlineStr">
        <is>
          <t xml:space="preserve">Entregado</t>
        </is>
      </c>
      <c r="F13" s="9" t="n">
        <v>46307</v>
      </c>
      <c r="G13" s="6" t="inlineStr">
        <is>
          <t xml:space="preserve">Word</t>
        </is>
      </c>
      <c r="H13" s="6" t="inlineStr">
        <is>
          <t xml:space="preserve">Sí</t>
        </is>
      </c>
      <c r="I13" s="10" t="inlineStr">
        <is>
          <t xml:space="preserve">Documento Primera Parte Entrega. Adaptado en: 1. Identificación del programa-carrera.docx</t>
        </is>
      </c>
      <c r="J13" s="6">
        <v>1</v>
      </c>
    </row>
    <row r="14" spans="1:10" x14ac:dyDescent="0.3">
      <c r="A14" s="6" t="s">
        <v>35</v>
      </c>
      <c r="B14" s="7" t="s">
        <v>36</v>
      </c>
      <c r="C14" s="8" t="s">
        <v>14</v>
      </c>
      <c r="D14" s="8" t="s">
        <v>15</v>
      </c>
      <c r="E14" s="6" t="inlineStr">
        <is>
          <t xml:space="preserve">Entregado</t>
        </is>
      </c>
      <c r="F14" s="9" t="n">
        <v>46307</v>
      </c>
      <c r="G14" s="6" t="inlineStr">
        <is>
          <t xml:space="preserve">Word</t>
        </is>
      </c>
      <c r="H14" s="6" t="inlineStr">
        <is>
          <t xml:space="preserve">Sí</t>
        </is>
      </c>
      <c r="I14" s="10" t="inlineStr">
        <is>
          <t xml:space="preserve">Documento Primera Parte Entrega. Adaptado en: 1. Identificación del programa-carrera.docx</t>
        </is>
      </c>
      <c r="J14" s="6">
        <v>1</v>
      </c>
    </row>
    <row r="15" spans="1:10" x14ac:dyDescent="0.3">
      <c r="A15" s="6" t="s">
        <v>37</v>
      </c>
      <c r="B15" s="7" t="s">
        <v>38</v>
      </c>
      <c r="C15" s="8" t="s">
        <v>14</v>
      </c>
      <c r="D15" s="8" t="s">
        <v>15</v>
      </c>
      <c r="E15" s="6" t="inlineStr">
        <is>
          <t xml:space="preserve">Entregado</t>
        </is>
      </c>
      <c r="F15" s="9" t="n">
        <v>46307</v>
      </c>
      <c r="G15" s="6" t="inlineStr">
        <is>
          <t xml:space="preserve">Word</t>
        </is>
      </c>
      <c r="H15" s="6" t="inlineStr">
        <is>
          <t xml:space="preserve">Sí</t>
        </is>
      </c>
      <c r="I15" s="10" t="inlineStr">
        <is>
          <t xml:space="preserve">Documento Primera Parte Entrega. Adaptado en: 1. Identificación del programa-carrera.docx</t>
        </is>
      </c>
      <c r="J15" s="6">
        <v>1</v>
      </c>
    </row>
    <row r="16" spans="1:10" x14ac:dyDescent="0.3">
      <c r="A16" s="6" t="s">
        <v>39</v>
      </c>
      <c r="B16" s="7" t="s">
        <v>40</v>
      </c>
      <c r="C16" s="8" t="s">
        <v>14</v>
      </c>
      <c r="D16" s="8" t="s">
        <v>15</v>
      </c>
      <c r="E16" s="6" t="inlineStr">
        <is>
          <t xml:space="preserve">Entregado</t>
        </is>
      </c>
      <c r="F16" s="9" t="n">
        <v>46307</v>
      </c>
      <c r="G16" s="6" t="inlineStr">
        <is>
          <t xml:space="preserve">Word</t>
        </is>
      </c>
      <c r="H16" s="6" t="inlineStr">
        <is>
          <t xml:space="preserve">Sí</t>
        </is>
      </c>
      <c r="I16" s="10" t="inlineStr">
        <is>
          <t xml:space="preserve">Documento Primera Parte Entrega. Adaptado en: 1. Identificación del programa-carrera.docx</t>
        </is>
      </c>
      <c r="J16" s="6">
        <v>1</v>
      </c>
    </row>
    <row r="17" spans="1:10" x14ac:dyDescent="0.3">
      <c r="A17" s="6" t="s">
        <v>41</v>
      </c>
      <c r="B17" s="7" t="s">
        <v>42</v>
      </c>
      <c r="C17" s="8" t="s">
        <v>14</v>
      </c>
      <c r="D17" s="8" t="s">
        <v>15</v>
      </c>
      <c r="E17" s="6" t="inlineStr">
        <is>
          <t xml:space="preserve">Entregado</t>
        </is>
      </c>
      <c r="F17" s="9" t="n">
        <v>46307</v>
      </c>
      <c r="G17" s="6" t="inlineStr">
        <is>
          <t xml:space="preserve">Word</t>
        </is>
      </c>
      <c r="H17" s="6" t="inlineStr">
        <is>
          <t xml:space="preserve">Sí</t>
        </is>
      </c>
      <c r="I17" s="10" t="inlineStr">
        <is>
          <t xml:space="preserve">Documento Primera Parte Entrega. Adaptado en: 1. Identificación del programa-carrera.docx</t>
        </is>
      </c>
      <c r="J17" s="6">
        <v>1</v>
      </c>
    </row>
    <row r="18" spans="1:10" x14ac:dyDescent="0.3">
      <c r="A18" s="6" t="s">
        <v>43</v>
      </c>
      <c r="B18" s="7" t="s">
        <v>44</v>
      </c>
      <c r="C18" s="8" t="s">
        <v>14</v>
      </c>
      <c r="D18" s="8" t="s">
        <v>15</v>
      </c>
      <c r="E18" s="6" t="s">
        <v>19</v>
      </c>
      <c r="F18" s="9"/>
      <c r="G18" s="6"/>
      <c r="H18" s="6" t="s">
        <v>20</v>
      </c>
      <c r="I18" s="10"/>
      <c r="J18" s="6">
        <v>1</v>
      </c>
    </row>
    <row r="19" spans="1:10" x14ac:dyDescent="0.3">
      <c r="A19" s="3" t="s">
        <v>45</v>
      </c>
      <c r="B19" s="4" t="s">
        <v>46</v>
      </c>
      <c r="C19" s="4" t="s">
        <v>47</v>
      </c>
      <c r="D19" s="4" t="s">
        <v>47</v>
      </c>
      <c r="E19" s="3" t="str">
        <f>IF(SUMPRODUCT(($J$20:$J$26=1)*($E$20:$E$26="Entregado"))=SUMPRODUCT(($J$20:$J$26=1)*1),"Completo",IF(SUMPRODUCT(($J$20:$J$26=1)*($E$20:$E$26="Pendiente"))=SUMPRODUCT(($J$20:$J$26=1)*1),"Pendiente","En proceso"))</f>
      </c>
      <c r="F19" s="3" t="str">
        <f>SUMPRODUCT(($J$20:$J$26=1)*($E$20:$E$26="Entregado"))&amp;" de "&amp;SUMPRODUCT(($J$20:$J$26=1)*1)</f>
      </c>
      <c r="G19" s="3" t="s">
        <v>16</v>
      </c>
      <c r="H19" s="3" t="s">
        <v>16</v>
      </c>
      <c r="I19" s="5"/>
      <c r="J19" s="3">
        <v>0</v>
      </c>
    </row>
    <row r="20" spans="1:10" x14ac:dyDescent="0.3">
      <c r="A20" s="6" t="s">
        <v>48</v>
      </c>
      <c r="B20" s="7" t="s">
        <v>49</v>
      </c>
      <c r="C20" s="8" t="s">
        <v>47</v>
      </c>
      <c r="D20" s="8" t="s">
        <v>47</v>
      </c>
      <c r="E20" s="6" t="inlineStr">
        <is>
          <t xml:space="preserve">Entregado</t>
        </is>
      </c>
      <c r="F20" s="9" t="n">
        <v>46307</v>
      </c>
      <c r="G20" s="6" t="inlineStr">
        <is>
          <t xml:space="preserve">Word</t>
        </is>
      </c>
      <c r="H20" s="6" t="inlineStr">
        <is>
          <t xml:space="preserve">Sí</t>
        </is>
      </c>
      <c r="I20" s="10" t="inlineStr">
        <is>
          <t xml:space="preserve">Documento Primera Parte Entrega. Adaptado en: 2. Antecedentes.docx</t>
        </is>
      </c>
      <c r="J20" s="6">
        <v>1</v>
      </c>
    </row>
    <row r="21" spans="1:10" x14ac:dyDescent="0.3">
      <c r="A21" s="6" t="s">
        <v>50</v>
      </c>
      <c r="B21" s="7" t="s">
        <v>51</v>
      </c>
      <c r="C21" s="8" t="s">
        <v>47</v>
      </c>
      <c r="D21" s="8" t="s">
        <v>47</v>
      </c>
      <c r="E21" s="6" t="inlineStr">
        <is>
          <t xml:space="preserve">Entregado</t>
        </is>
      </c>
      <c r="F21" s="9" t="n">
        <v>46307</v>
      </c>
      <c r="G21" s="6" t="inlineStr">
        <is>
          <t xml:space="preserve">Word</t>
        </is>
      </c>
      <c r="H21" s="6" t="inlineStr">
        <is>
          <t xml:space="preserve">Sí</t>
        </is>
      </c>
      <c r="I21" s="10" t="inlineStr">
        <is>
          <t xml:space="preserve">Documento Primera Parte Entrega. Adaptado en: 2. Antecedentes.docx</t>
        </is>
      </c>
      <c r="J21" s="6">
        <v>1</v>
      </c>
    </row>
    <row r="22" spans="1:10" x14ac:dyDescent="0.3">
      <c r="A22" s="6" t="s">
        <v>52</v>
      </c>
      <c r="B22" s="7" t="s">
        <v>53</v>
      </c>
      <c r="C22" s="8" t="s">
        <v>47</v>
      </c>
      <c r="D22" s="8" t="s">
        <v>47</v>
      </c>
      <c r="E22" s="6" t="s">
        <v>19</v>
      </c>
      <c r="F22" s="9"/>
      <c r="G22" s="6"/>
      <c r="H22" s="6" t="s">
        <v>20</v>
      </c>
      <c r="I22" s="10"/>
      <c r="J22" s="6">
        <v>1</v>
      </c>
    </row>
    <row r="23" spans="1:10" x14ac:dyDescent="0.3">
      <c r="A23" s="6" t="s">
        <v>54</v>
      </c>
      <c r="B23" s="7" t="s">
        <v>55</v>
      </c>
      <c r="C23" s="8" t="s">
        <v>47</v>
      </c>
      <c r="D23" s="8" t="s">
        <v>47</v>
      </c>
      <c r="E23" s="6" t="inlineStr">
        <is>
          <t xml:space="preserve">Entregado</t>
        </is>
      </c>
      <c r="F23" s="9" t="n">
        <v>46307</v>
      </c>
      <c r="G23" s="6" t="inlineStr">
        <is>
          <t xml:space="preserve">Word</t>
        </is>
      </c>
      <c r="H23" s="6" t="inlineStr">
        <is>
          <t xml:space="preserve">Sí</t>
        </is>
      </c>
      <c r="I23" s="10" t="inlineStr">
        <is>
          <t xml:space="preserve">Documento Primera Parte Entrega. Adaptado en: 2. Antecedentes.docx</t>
        </is>
      </c>
      <c r="J23" s="6">
        <v>1</v>
      </c>
    </row>
    <row r="24" spans="1:10" x14ac:dyDescent="0.3">
      <c r="A24" s="6" t="s">
        <v>56</v>
      </c>
      <c r="B24" s="7" t="s">
        <v>57</v>
      </c>
      <c r="C24" s="8" t="s">
        <v>47</v>
      </c>
      <c r="D24" s="8" t="s">
        <v>47</v>
      </c>
      <c r="E24" s="6" t="s">
        <v>19</v>
      </c>
      <c r="F24" s="9"/>
      <c r="G24" s="6"/>
      <c r="H24" s="6" t="s">
        <v>20</v>
      </c>
      <c r="I24" s="10"/>
      <c r="J24" s="6">
        <v>1</v>
      </c>
    </row>
    <row r="25" spans="1:10" x14ac:dyDescent="0.3">
      <c r="A25" s="6" t="s">
        <v>58</v>
      </c>
      <c r="B25" s="7" t="s">
        <v>59</v>
      </c>
      <c r="C25" s="8" t="s">
        <v>47</v>
      </c>
      <c r="D25" s="8" t="s">
        <v>47</v>
      </c>
      <c r="E25" s="6" t="inlineStr">
        <is>
          <t xml:space="preserve">Entregado</t>
        </is>
      </c>
      <c r="F25" s="9" t="n">
        <v>46307</v>
      </c>
      <c r="G25" s="6" t="inlineStr">
        <is>
          <t xml:space="preserve">Word</t>
        </is>
      </c>
      <c r="H25" s="6" t="inlineStr">
        <is>
          <t xml:space="preserve">Sí</t>
        </is>
      </c>
      <c r="I25" s="10" t="inlineStr">
        <is>
          <t xml:space="preserve">Documento Primera Parte Entrega. Adaptado en: 2. Antecedentes.docx</t>
        </is>
      </c>
      <c r="J25" s="6">
        <v>1</v>
      </c>
    </row>
    <row r="26" spans="1:10" x14ac:dyDescent="0.3">
      <c r="A26" s="6" t="s">
        <v>60</v>
      </c>
      <c r="B26" s="7" t="s">
        <v>61</v>
      </c>
      <c r="C26" s="8" t="s">
        <v>47</v>
      </c>
      <c r="D26" s="8" t="s">
        <v>47</v>
      </c>
      <c r="E26" s="6" t="inlineStr">
        <is>
          <t xml:space="preserve">Entregado</t>
        </is>
      </c>
      <c r="F26" s="9" t="n">
        <v>46307</v>
      </c>
      <c r="G26" s="6" t="inlineStr">
        <is>
          <t xml:space="preserve">Word</t>
        </is>
      </c>
      <c r="H26" s="6" t="inlineStr">
        <is>
          <t xml:space="preserve">Sí</t>
        </is>
      </c>
      <c r="I26" s="10" t="inlineStr">
        <is>
          <t xml:space="preserve">Documento Primera Parte Entrega. Adaptado en: 2. Antecedentes.docx</t>
        </is>
      </c>
      <c r="J26" s="6">
        <v>1</v>
      </c>
    </row>
    <row r="27" spans="1:10" ht="25.2" x14ac:dyDescent="0.3">
      <c r="A27" s="3" t="s">
        <v>62</v>
      </c>
      <c r="B27" s="4" t="s">
        <v>63</v>
      </c>
      <c r="C27" s="4" t="s">
        <v>64</v>
      </c>
      <c r="D27" s="4" t="s">
        <v>65</v>
      </c>
      <c r="E27" s="3" t="str">
        <f>IF(SUMPRODUCT(($J$28:$J$32=1)*($E$28:$E$32="Entregado"))=SUMPRODUCT(($J$28:$J$32=1)*1),"Completo",IF(SUMPRODUCT(($J$28:$J$32=1)*($E$28:$E$32="Pendiente"))=SUMPRODUCT(($J$28:$J$32=1)*1),"Pendiente","En proceso"))</f>
      </c>
      <c r="F27" s="3" t="str">
        <f>SUMPRODUCT(($J$28:$J$32=1)*($E$28:$E$32="Entregado"))&amp;" de "&amp;SUMPRODUCT(($J$28:$J$32=1)*1)</f>
      </c>
      <c r="G27" s="3" t="s">
        <v>16</v>
      </c>
      <c r="H27" s="3" t="s">
        <v>16</v>
      </c>
      <c r="I27" s="5"/>
      <c r="J27" s="3">
        <v>0</v>
      </c>
    </row>
    <row r="28" spans="1:10" ht="26.4" x14ac:dyDescent="0.3">
      <c r="A28" s="6" t="s">
        <v>66</v>
      </c>
      <c r="B28" s="7" t="s">
        <v>67</v>
      </c>
      <c r="C28" s="8" t="s">
        <v>64</v>
      </c>
      <c r="D28" s="8" t="s">
        <v>65</v>
      </c>
      <c r="E28" s="6" t="inlineStr">
        <is>
          <t xml:space="preserve">Entregado</t>
        </is>
      </c>
      <c r="F28" s="9" t="n">
        <v>46307</v>
      </c>
      <c r="G28" s="6" t="inlineStr">
        <is>
          <t xml:space="preserve">Word</t>
        </is>
      </c>
      <c r="H28" s="6" t="inlineStr">
        <is>
          <t xml:space="preserve">Sí</t>
        </is>
      </c>
      <c r="I28" s="10" t="inlineStr">
        <is>
          <t xml:space="preserve">Punto 3 Justificación (Comisión 1, versión consolidada). Adaptado en: 3. Justificación de la innovación curricular.docx</t>
        </is>
      </c>
      <c r="J28" s="6">
        <v>1</v>
      </c>
    </row>
    <row r="29" spans="1:10" ht="26.4" x14ac:dyDescent="0.3">
      <c r="A29" s="6" t="s">
        <v>68</v>
      </c>
      <c r="B29" s="7" t="s">
        <v>69</v>
      </c>
      <c r="C29" s="8" t="s">
        <v>64</v>
      </c>
      <c r="D29" s="8" t="s">
        <v>65</v>
      </c>
      <c r="E29" s="6" t="inlineStr">
        <is>
          <t xml:space="preserve">Entregado</t>
        </is>
      </c>
      <c r="F29" s="9" t="n">
        <v>46307</v>
      </c>
      <c r="G29" s="6" t="inlineStr">
        <is>
          <t xml:space="preserve">Word</t>
        </is>
      </c>
      <c r="H29" s="6" t="inlineStr">
        <is>
          <t xml:space="preserve">Sí</t>
        </is>
      </c>
      <c r="I29" s="10" t="inlineStr">
        <is>
          <t xml:space="preserve">Punto 3 Justificación (Comisión 1, versión consolidada). Adaptado en: 3. Justificación de la innovación curricular.docx</t>
        </is>
      </c>
      <c r="J29" s="6">
        <v>1</v>
      </c>
    </row>
    <row r="30" spans="1:10" ht="26.4" x14ac:dyDescent="0.3">
      <c r="A30" s="6" t="s">
        <v>70</v>
      </c>
      <c r="B30" s="7" t="s">
        <v>71</v>
      </c>
      <c r="C30" s="8" t="s">
        <v>64</v>
      </c>
      <c r="D30" s="8" t="s">
        <v>65</v>
      </c>
      <c r="E30" s="6" t="inlineStr">
        <is>
          <t xml:space="preserve">Entregado</t>
        </is>
      </c>
      <c r="F30" s="9" t="n">
        <v>46307</v>
      </c>
      <c r="G30" s="6" t="inlineStr">
        <is>
          <t xml:space="preserve">Word</t>
        </is>
      </c>
      <c r="H30" s="6" t="inlineStr">
        <is>
          <t xml:space="preserve">Sí</t>
        </is>
      </c>
      <c r="I30" s="10" t="inlineStr">
        <is>
          <t xml:space="preserve">Punto 3 Justificación (Comisión 1, versión consolidada). Adaptado en: 3. Justificación de la innovación curricular.docx</t>
        </is>
      </c>
      <c r="J30" s="6">
        <v>1</v>
      </c>
    </row>
    <row r="31" spans="1:10" ht="26.4" x14ac:dyDescent="0.3">
      <c r="A31" s="6" t="s">
        <v>72</v>
      </c>
      <c r="B31" s="7" t="s">
        <v>73</v>
      </c>
      <c r="C31" s="8" t="s">
        <v>74</v>
      </c>
      <c r="D31" s="8" t="s">
        <v>75</v>
      </c>
      <c r="E31" s="6" t="inlineStr">
        <is>
          <t xml:space="preserve">Entregado</t>
        </is>
      </c>
      <c r="F31" s="9" t="n">
        <v>46307</v>
      </c>
      <c r="G31" s="6" t="inlineStr">
        <is>
          <t xml:space="preserve">Word</t>
        </is>
      </c>
      <c r="H31" s="6" t="inlineStr">
        <is>
          <t xml:space="preserve">Sí</t>
        </is>
      </c>
      <c r="I31" s="10" t="inlineStr">
        <is>
          <t xml:space="preserve">Punto 3 Justificación (Comisión 1, versión consolidada). Adaptado en: 3. Justificación de la innovación curricular.docx</t>
        </is>
      </c>
      <c r="J31" s="6">
        <v>1</v>
      </c>
    </row>
    <row r="32" spans="1:10" ht="26.4" x14ac:dyDescent="0.3">
      <c r="A32" s="6" t="s">
        <v>76</v>
      </c>
      <c r="B32" s="7" t="s">
        <v>77</v>
      </c>
      <c r="C32" s="8" t="s">
        <v>74</v>
      </c>
      <c r="D32" s="8" t="s">
        <v>75</v>
      </c>
      <c r="E32" s="6" t="inlineStr">
        <is>
          <t xml:space="preserve">Entregado</t>
        </is>
      </c>
      <c r="F32" s="9" t="n">
        <v>46307</v>
      </c>
      <c r="G32" s="6" t="inlineStr">
        <is>
          <t xml:space="preserve">Word</t>
        </is>
      </c>
      <c r="H32" s="6" t="inlineStr">
        <is>
          <t xml:space="preserve">Sí</t>
        </is>
      </c>
      <c r="I32" s="10" t="inlineStr">
        <is>
          <t xml:space="preserve">Punto 3 Justificación (Comisión 1, versión consolidada). Adaptado en: 3. Justificación de la innovación curricular.docx</t>
        </is>
      </c>
      <c r="J32" s="6">
        <v>1</v>
      </c>
    </row>
    <row r="33" spans="1:10" x14ac:dyDescent="0.3">
      <c r="A33" s="3" t="s">
        <v>78</v>
      </c>
      <c r="B33" s="4" t="s">
        <v>79</v>
      </c>
      <c r="C33" s="4" t="s">
        <v>80</v>
      </c>
      <c r="D33" s="4" t="s">
        <v>81</v>
      </c>
      <c r="E33" s="3" t="str">
        <f>IF(SUMPRODUCT(($J$34:$J$71=1)*($E$34:$E$71="Entregado"))=SUMPRODUCT(($J$34:$J$71=1)*1),"Completo",IF(SUMPRODUCT(($J$34:$J$71=1)*($E$34:$E$71="Pendiente"))=SUMPRODUCT(($J$34:$J$71=1)*1),"Pendiente","En proceso"))</f>
      </c>
      <c r="F33" s="3" t="str">
        <f>SUMPRODUCT(($J$34:$J$71=1)*($E$34:$E$71="Entregado"))&amp;" de "&amp;SUMPRODUCT(($J$34:$J$71=1)*1)</f>
      </c>
      <c r="G33" s="3" t="s">
        <v>16</v>
      </c>
      <c r="H33" s="3" t="s">
        <v>16</v>
      </c>
      <c r="I33" s="5"/>
      <c r="J33" s="3">
        <v>0</v>
      </c>
    </row>
    <row r="34" spans="1:10" x14ac:dyDescent="0.3">
      <c r="A34" s="11" t="s">
        <v>82</v>
      </c>
      <c r="B34" s="12" t="s">
        <v>83</v>
      </c>
      <c r="C34" s="13" t="s">
        <v>80</v>
      </c>
      <c r="D34" s="13" t="s">
        <v>81</v>
      </c>
      <c r="E34" s="11" t="str">
        <f>IF(SUMPRODUCT(($J$35:$J$39=1)*($E$35:$E$39="Entregado"))=SUMPRODUCT(($J$35:$J$39=1)*1),"Completo",IF(SUMPRODUCT(($J$35:$J$39=1)*($E$35:$E$39="Pendiente"))=SUMPRODUCT(($J$35:$J$39=1)*1),"Pendiente","En proceso"))</f>
      </c>
      <c r="F34" s="11" t="str">
        <f>SUMPRODUCT(($J$35:$J$39=1)*($E$35:$E$39="Entregado"))&amp;" de "&amp;SUMPRODUCT(($J$35:$J$39=1)*1)</f>
      </c>
      <c r="G34" s="11" t="s">
        <v>16</v>
      </c>
      <c r="H34" s="11" t="s">
        <v>16</v>
      </c>
      <c r="I34" s="14"/>
      <c r="J34" s="11">
        <v>0</v>
      </c>
    </row>
    <row r="35" spans="1:10" x14ac:dyDescent="0.3">
      <c r="A35" s="6" t="s">
        <v>84</v>
      </c>
      <c r="B35" s="7" t="s">
        <v>85</v>
      </c>
      <c r="C35" s="8" t="s">
        <v>80</v>
      </c>
      <c r="D35" s="8" t="s">
        <v>81</v>
      </c>
      <c r="E35" s="6" t="s">
        <v>19</v>
      </c>
      <c r="F35" s="9"/>
      <c r="G35" s="6"/>
      <c r="H35" s="6" t="s">
        <v>20</v>
      </c>
      <c r="I35" s="10"/>
      <c r="J35" s="6">
        <v>1</v>
      </c>
    </row>
    <row r="36" spans="1:10" x14ac:dyDescent="0.3">
      <c r="A36" s="6" t="s">
        <v>86</v>
      </c>
      <c r="B36" s="7" t="s">
        <v>87</v>
      </c>
      <c r="C36" s="8" t="s">
        <v>80</v>
      </c>
      <c r="D36" s="8" t="s">
        <v>81</v>
      </c>
      <c r="E36" s="6" t="s">
        <v>19</v>
      </c>
      <c r="F36" s="9"/>
      <c r="G36" s="6"/>
      <c r="H36" s="6" t="s">
        <v>20</v>
      </c>
      <c r="I36" s="10"/>
      <c r="J36" s="6">
        <v>1</v>
      </c>
    </row>
    <row r="37" spans="1:10" x14ac:dyDescent="0.3">
      <c r="A37" s="6" t="s">
        <v>88</v>
      </c>
      <c r="B37" s="7" t="s">
        <v>89</v>
      </c>
      <c r="C37" s="8" t="s">
        <v>90</v>
      </c>
      <c r="D37" s="8" t="s">
        <v>91</v>
      </c>
      <c r="E37" s="6" t="s">
        <v>19</v>
      </c>
      <c r="F37" s="9"/>
      <c r="G37" s="6"/>
      <c r="H37" s="6" t="s">
        <v>20</v>
      </c>
      <c r="I37" s="10"/>
      <c r="J37" s="6">
        <v>1</v>
      </c>
    </row>
    <row r="38" spans="1:10" x14ac:dyDescent="0.3">
      <c r="A38" s="6" t="s">
        <v>92</v>
      </c>
      <c r="B38" s="7" t="s">
        <v>93</v>
      </c>
      <c r="C38" s="8" t="s">
        <v>90</v>
      </c>
      <c r="D38" s="8" t="s">
        <v>91</v>
      </c>
      <c r="E38" s="6" t="s">
        <v>19</v>
      </c>
      <c r="F38" s="9"/>
      <c r="G38" s="6"/>
      <c r="H38" s="6" t="s">
        <v>20</v>
      </c>
      <c r="I38" s="10"/>
      <c r="J38" s="6">
        <v>1</v>
      </c>
    </row>
    <row r="39" spans="1:10" x14ac:dyDescent="0.3">
      <c r="A39" s="6" t="s">
        <v>94</v>
      </c>
      <c r="B39" s="7" t="s">
        <v>95</v>
      </c>
      <c r="C39" s="8" t="s">
        <v>90</v>
      </c>
      <c r="D39" s="8" t="s">
        <v>91</v>
      </c>
      <c r="E39" s="6" t="s">
        <v>19</v>
      </c>
      <c r="F39" s="9"/>
      <c r="G39" s="6"/>
      <c r="H39" s="6" t="s">
        <v>20</v>
      </c>
      <c r="I39" s="10"/>
      <c r="J39" s="6">
        <v>1</v>
      </c>
    </row>
    <row r="40" spans="1:10" x14ac:dyDescent="0.3">
      <c r="A40" s="11" t="s">
        <v>96</v>
      </c>
      <c r="B40" s="12" t="s">
        <v>97</v>
      </c>
      <c r="C40" s="13" t="s">
        <v>98</v>
      </c>
      <c r="D40" s="13" t="s">
        <v>99</v>
      </c>
      <c r="E40" s="11" t="str">
        <f>IF(SUMPRODUCT(($J$41:$J$47=1)*($E$41:$E$47="Entregado"))=SUMPRODUCT(($J$41:$J$47=1)*1),"Completo",IF(SUMPRODUCT(($J$41:$J$47=1)*($E$41:$E$47="Pendiente"))=SUMPRODUCT(($J$41:$J$47=1)*1),"Pendiente","En proceso"))</f>
      </c>
      <c r="F40" s="11" t="str">
        <f>SUMPRODUCT(($J$41:$J$47=1)*($E$41:$E$47="Entregado"))&amp;" de "&amp;SUMPRODUCT(($J$41:$J$47=1)*1)</f>
      </c>
      <c r="G40" s="11" t="s">
        <v>16</v>
      </c>
      <c r="H40" s="11" t="s">
        <v>16</v>
      </c>
      <c r="I40" s="14"/>
      <c r="J40" s="11">
        <v>0</v>
      </c>
    </row>
    <row r="41" spans="1:10" x14ac:dyDescent="0.3">
      <c r="A41" s="6" t="s">
        <v>100</v>
      </c>
      <c r="B41" s="7" t="s">
        <v>101</v>
      </c>
      <c r="C41" s="8" t="s">
        <v>98</v>
      </c>
      <c r="D41" s="8" t="s">
        <v>99</v>
      </c>
      <c r="E41" s="6" t="s">
        <v>19</v>
      </c>
      <c r="F41" s="9"/>
      <c r="G41" s="6"/>
      <c r="H41" s="6" t="s">
        <v>20</v>
      </c>
      <c r="I41" s="10"/>
      <c r="J41" s="6">
        <v>1</v>
      </c>
    </row>
    <row r="42" spans="1:10" x14ac:dyDescent="0.3">
      <c r="A42" s="6" t="s">
        <v>102</v>
      </c>
      <c r="B42" s="7" t="s">
        <v>103</v>
      </c>
      <c r="C42" s="8" t="s">
        <v>98</v>
      </c>
      <c r="D42" s="8" t="s">
        <v>99</v>
      </c>
      <c r="E42" s="6" t="s">
        <v>19</v>
      </c>
      <c r="F42" s="9"/>
      <c r="G42" s="6"/>
      <c r="H42" s="6" t="s">
        <v>20</v>
      </c>
      <c r="I42" s="10"/>
      <c r="J42" s="6">
        <v>1</v>
      </c>
    </row>
    <row r="43" spans="1:10" ht="26.4" x14ac:dyDescent="0.3">
      <c r="A43" s="6" t="s">
        <v>104</v>
      </c>
      <c r="B43" s="7" t="s">
        <v>105</v>
      </c>
      <c r="C43" s="8" t="s">
        <v>98</v>
      </c>
      <c r="D43" s="8" t="s">
        <v>99</v>
      </c>
      <c r="E43" s="6" t="s">
        <v>19</v>
      </c>
      <c r="F43" s="9"/>
      <c r="G43" s="6"/>
      <c r="H43" s="6" t="s">
        <v>20</v>
      </c>
      <c r="I43" s="10"/>
      <c r="J43" s="6">
        <v>1</v>
      </c>
    </row>
    <row r="44" spans="1:10" x14ac:dyDescent="0.3">
      <c r="A44" s="6" t="s">
        <v>106</v>
      </c>
      <c r="B44" s="7" t="s">
        <v>107</v>
      </c>
      <c r="C44" s="8" t="s">
        <v>98</v>
      </c>
      <c r="D44" s="8" t="s">
        <v>99</v>
      </c>
      <c r="E44" s="6" t="s">
        <v>19</v>
      </c>
      <c r="F44" s="9"/>
      <c r="G44" s="6"/>
      <c r="H44" s="6" t="s">
        <v>20</v>
      </c>
      <c r="I44" s="10"/>
      <c r="J44" s="6">
        <v>1</v>
      </c>
    </row>
    <row r="45" spans="1:10" x14ac:dyDescent="0.3">
      <c r="A45" s="6" t="s">
        <v>108</v>
      </c>
      <c r="B45" s="7" t="s">
        <v>109</v>
      </c>
      <c r="C45" s="8" t="s">
        <v>98</v>
      </c>
      <c r="D45" s="8" t="s">
        <v>99</v>
      </c>
      <c r="E45" s="6" t="s">
        <v>19</v>
      </c>
      <c r="F45" s="9"/>
      <c r="G45" s="6"/>
      <c r="H45" s="6" t="s">
        <v>20</v>
      </c>
      <c r="I45" s="10"/>
      <c r="J45" s="6">
        <v>1</v>
      </c>
    </row>
    <row r="46" spans="1:10" x14ac:dyDescent="0.3">
      <c r="A46" s="6" t="s">
        <v>110</v>
      </c>
      <c r="B46" s="7" t="s">
        <v>111</v>
      </c>
      <c r="C46" s="8" t="s">
        <v>98</v>
      </c>
      <c r="D46" s="8" t="s">
        <v>99</v>
      </c>
      <c r="E46" s="6" t="s">
        <v>19</v>
      </c>
      <c r="F46" s="9"/>
      <c r="G46" s="6"/>
      <c r="H46" s="6" t="s">
        <v>20</v>
      </c>
      <c r="I46" s="10"/>
      <c r="J46" s="6">
        <v>1</v>
      </c>
    </row>
    <row r="47" spans="1:10" x14ac:dyDescent="0.3">
      <c r="A47" s="6" t="s">
        <v>112</v>
      </c>
      <c r="B47" s="7" t="s">
        <v>113</v>
      </c>
      <c r="C47" s="8" t="s">
        <v>98</v>
      </c>
      <c r="D47" s="8" t="s">
        <v>99</v>
      </c>
      <c r="E47" s="6" t="s">
        <v>19</v>
      </c>
      <c r="F47" s="9"/>
      <c r="G47" s="6"/>
      <c r="H47" s="6" t="s">
        <v>20</v>
      </c>
      <c r="I47" s="10"/>
      <c r="J47" s="6">
        <v>1</v>
      </c>
    </row>
    <row r="48" spans="1:10" x14ac:dyDescent="0.3">
      <c r="A48" s="11" t="s">
        <v>114</v>
      </c>
      <c r="B48" s="12" t="s">
        <v>115</v>
      </c>
      <c r="C48" s="13" t="s">
        <v>116</v>
      </c>
      <c r="D48" s="13" t="s">
        <v>117</v>
      </c>
      <c r="E48" s="11" t="str">
        <f>IF(SUMPRODUCT(($J$49:$J$53=1)*($E$49:$E$53="Entregado"))=SUMPRODUCT(($J$49:$J$53=1)*1),"Completo",IF(SUMPRODUCT(($J$49:$J$53=1)*($E$49:$E$53="Pendiente"))=SUMPRODUCT(($J$49:$J$53=1)*1),"Pendiente","En proceso"))</f>
      </c>
      <c r="F48" s="11" t="str">
        <f>SUMPRODUCT(($J$49:$J$53=1)*($E$49:$E$53="Entregado"))&amp;" de "&amp;SUMPRODUCT(($J$49:$J$53=1)*1)</f>
      </c>
      <c r="G48" s="11" t="s">
        <v>16</v>
      </c>
      <c r="H48" s="11" t="s">
        <v>16</v>
      </c>
      <c r="I48" s="14"/>
      <c r="J48" s="11">
        <v>0</v>
      </c>
    </row>
    <row r="49" spans="1:10" x14ac:dyDescent="0.3">
      <c r="A49" s="6" t="s">
        <v>118</v>
      </c>
      <c r="B49" s="7" t="s">
        <v>119</v>
      </c>
      <c r="C49" s="8" t="s">
        <v>116</v>
      </c>
      <c r="D49" s="8" t="s">
        <v>117</v>
      </c>
      <c r="E49" s="6" t="inlineStr">
        <is>
          <t xml:space="preserve">Entregado</t>
        </is>
      </c>
      <c r="F49" s="9" t="n">
        <v>46307</v>
      </c>
      <c r="G49" s="6" t="inlineStr">
        <is>
          <t xml:space="preserve">Word</t>
        </is>
      </c>
      <c r="H49" s="6" t="inlineStr">
        <is>
          <t xml:space="preserve">Sí</t>
        </is>
      </c>
      <c r="I49" s="10" t="inlineStr">
        <is>
          <t xml:space="preserve">Plan de Estudios Propuesto para comisión v.2. Adaptado en: 4.3 Plan de estudios propuesto.docx</t>
        </is>
      </c>
      <c r="J49" s="6">
        <v>1</v>
      </c>
    </row>
    <row r="50" spans="1:10" x14ac:dyDescent="0.3">
      <c r="A50" s="6" t="s">
        <v>120</v>
      </c>
      <c r="B50" s="7" t="s">
        <v>121</v>
      </c>
      <c r="C50" s="8" t="s">
        <v>116</v>
      </c>
      <c r="D50" s="8" t="s">
        <v>117</v>
      </c>
      <c r="E50" s="6" t="inlineStr">
        <is>
          <t xml:space="preserve">Entregado</t>
        </is>
      </c>
      <c r="F50" s="9" t="n">
        <v>46307</v>
      </c>
      <c r="G50" s="6" t="inlineStr">
        <is>
          <t xml:space="preserve">Word</t>
        </is>
      </c>
      <c r="H50" s="6" t="inlineStr">
        <is>
          <t xml:space="preserve">Sí</t>
        </is>
      </c>
      <c r="I50" s="10" t="inlineStr">
        <is>
          <t xml:space="preserve">Plan de Estudios Propuesto para comisión v.2. Adaptado en: 4.3 Plan de estudios propuesto.docx</t>
        </is>
      </c>
      <c r="J50" s="6">
        <v>1</v>
      </c>
    </row>
    <row r="51" spans="1:10" x14ac:dyDescent="0.3">
      <c r="A51" s="6" t="s">
        <v>122</v>
      </c>
      <c r="B51" s="7" t="s">
        <v>123</v>
      </c>
      <c r="C51" s="8" t="s">
        <v>124</v>
      </c>
      <c r="D51" s="8" t="s">
        <v>125</v>
      </c>
      <c r="E51" s="6" t="inlineStr">
        <is>
          <t xml:space="preserve">Entregado</t>
        </is>
      </c>
      <c r="F51" s="9" t="n">
        <v>46307</v>
      </c>
      <c r="G51" s="6" t="inlineStr">
        <is>
          <t xml:space="preserve">Word</t>
        </is>
      </c>
      <c r="H51" s="6" t="inlineStr">
        <is>
          <t xml:space="preserve">Sí</t>
        </is>
      </c>
      <c r="I51" s="10" t="inlineStr">
        <is>
          <t xml:space="preserve">Plan de Estudios Propuesto para comisión v.2. Adaptado en: 4.3 Plan de estudios propuesto.docx</t>
        </is>
      </c>
      <c r="J51" s="6">
        <v>1</v>
      </c>
    </row>
    <row r="52" spans="1:10" x14ac:dyDescent="0.3">
      <c r="A52" s="6" t="s">
        <v>126</v>
      </c>
      <c r="B52" s="7" t="s">
        <v>127</v>
      </c>
      <c r="C52" s="8" t="s">
        <v>124</v>
      </c>
      <c r="D52" s="8" t="s">
        <v>125</v>
      </c>
      <c r="E52" s="6" t="inlineStr">
        <is>
          <t xml:space="preserve">Entregado</t>
        </is>
      </c>
      <c r="F52" s="9" t="n">
        <v>46307</v>
      </c>
      <c r="G52" s="6" t="inlineStr">
        <is>
          <t xml:space="preserve">Word</t>
        </is>
      </c>
      <c r="H52" s="6" t="inlineStr">
        <is>
          <t xml:space="preserve">Sí</t>
        </is>
      </c>
      <c r="I52" s="10" t="inlineStr">
        <is>
          <t xml:space="preserve">Plan de Estudios Propuesto para comisión v.2. Adaptado en: 4.3 Plan de estudios propuesto.docx</t>
        </is>
      </c>
      <c r="J52" s="6">
        <v>1</v>
      </c>
    </row>
    <row r="53" spans="1:10" x14ac:dyDescent="0.3">
      <c r="A53" s="6" t="s">
        <v>128</v>
      </c>
      <c r="B53" s="7" t="s">
        <v>129</v>
      </c>
      <c r="C53" s="8" t="s">
        <v>124</v>
      </c>
      <c r="D53" s="8" t="s">
        <v>125</v>
      </c>
      <c r="E53" s="6" t="inlineStr">
        <is>
          <t xml:space="preserve">Entregado</t>
        </is>
      </c>
      <c r="F53" s="9" t="n">
        <v>46307</v>
      </c>
      <c r="G53" s="6" t="inlineStr">
        <is>
          <t xml:space="preserve">Word</t>
        </is>
      </c>
      <c r="H53" s="6" t="inlineStr">
        <is>
          <t xml:space="preserve">Sí</t>
        </is>
      </c>
      <c r="I53" s="10" t="inlineStr">
        <is>
          <t xml:space="preserve">Plan de Estudios Propuesto para comisión v.2. Adaptado en: 4.3 Plan de estudios propuesto.docx</t>
        </is>
      </c>
      <c r="J53" s="6">
        <v>1</v>
      </c>
    </row>
    <row r="54" spans="1:10" x14ac:dyDescent="0.3">
      <c r="A54" s="11" t="s">
        <v>130</v>
      </c>
      <c r="B54" s="12" t="s">
        <v>131</v>
      </c>
      <c r="C54" s="13" t="s">
        <v>132</v>
      </c>
      <c r="D54" s="13" t="s">
        <v>132</v>
      </c>
      <c r="E54" s="11" t="str">
        <f>IF(SUMPRODUCT(($J$55:$J$58=1)*($E$55:$E$58="Entregado"))=SUMPRODUCT(($J$55:$J$58=1)*1),"Completo",IF(SUMPRODUCT(($J$55:$J$58=1)*($E$55:$E$58="Pendiente"))=SUMPRODUCT(($J$55:$J$58=1)*1),"Pendiente","En proceso"))</f>
      </c>
      <c r="F54" s="11" t="str">
        <f>SUMPRODUCT(($J$55:$J$58=1)*($E$55:$E$58="Entregado"))&amp;" de "&amp;SUMPRODUCT(($J$55:$J$58=1)*1)</f>
      </c>
      <c r="G54" s="11" t="s">
        <v>16</v>
      </c>
      <c r="H54" s="11" t="s">
        <v>16</v>
      </c>
      <c r="I54" s="14"/>
      <c r="J54" s="11">
        <v>0</v>
      </c>
    </row>
    <row r="55" spans="1:10" ht="26.4" x14ac:dyDescent="0.3">
      <c r="A55" s="6" t="s">
        <v>133</v>
      </c>
      <c r="B55" s="7" t="s">
        <v>134</v>
      </c>
      <c r="C55" s="8" t="s">
        <v>132</v>
      </c>
      <c r="D55" s="8" t="s">
        <v>132</v>
      </c>
      <c r="E55" s="6" t="s">
        <v>19</v>
      </c>
      <c r="F55" s="9"/>
      <c r="G55" s="6"/>
      <c r="H55" s="6" t="s">
        <v>20</v>
      </c>
      <c r="I55" s="10"/>
      <c r="J55" s="6">
        <v>1</v>
      </c>
    </row>
    <row r="56" spans="1:10" ht="26.4" x14ac:dyDescent="0.3">
      <c r="A56" s="6" t="s">
        <v>135</v>
      </c>
      <c r="B56" s="7" t="s">
        <v>136</v>
      </c>
      <c r="C56" s="8" t="s">
        <v>132</v>
      </c>
      <c r="D56" s="8" t="s">
        <v>132</v>
      </c>
      <c r="E56" s="6" t="s">
        <v>19</v>
      </c>
      <c r="F56" s="9"/>
      <c r="G56" s="6"/>
      <c r="H56" s="6" t="s">
        <v>20</v>
      </c>
      <c r="I56" s="10"/>
      <c r="J56" s="6">
        <v>1</v>
      </c>
    </row>
    <row r="57" spans="1:10" ht="39.6" x14ac:dyDescent="0.3">
      <c r="A57" s="6" t="s">
        <v>137</v>
      </c>
      <c r="B57" s="7" t="s">
        <v>138</v>
      </c>
      <c r="C57" s="8" t="s">
        <v>132</v>
      </c>
      <c r="D57" s="8" t="s">
        <v>132</v>
      </c>
      <c r="E57" s="6" t="s">
        <v>19</v>
      </c>
      <c r="F57" s="9"/>
      <c r="G57" s="6"/>
      <c r="H57" s="6" t="s">
        <v>20</v>
      </c>
      <c r="I57" s="10"/>
      <c r="J57" s="6">
        <v>1</v>
      </c>
    </row>
    <row r="58" spans="1:10" ht="26.4" x14ac:dyDescent="0.3">
      <c r="A58" s="6" t="s">
        <v>139</v>
      </c>
      <c r="B58" s="7" t="s">
        <v>140</v>
      </c>
      <c r="C58" s="8" t="s">
        <v>132</v>
      </c>
      <c r="D58" s="8" t="s">
        <v>132</v>
      </c>
      <c r="E58" s="6" t="s">
        <v>19</v>
      </c>
      <c r="F58" s="9"/>
      <c r="G58" s="6"/>
      <c r="H58" s="6" t="s">
        <v>20</v>
      </c>
      <c r="I58" s="10"/>
      <c r="J58" s="6">
        <v>1</v>
      </c>
    </row>
    <row r="59" spans="1:10" x14ac:dyDescent="0.3">
      <c r="A59" s="11" t="s">
        <v>141</v>
      </c>
      <c r="B59" s="12" t="s">
        <v>142</v>
      </c>
      <c r="C59" s="13" t="s">
        <v>143</v>
      </c>
      <c r="D59" s="13" t="s">
        <v>143</v>
      </c>
      <c r="E59" s="11" t="str">
        <f>IF(SUMPRODUCT(($J$60:$J$68=1)*($E$60:$E$68="Entregado"))=SUMPRODUCT(($J$60:$J$68=1)*1),"Completo",IF(SUMPRODUCT(($J$60:$J$68=1)*($E$60:$E$68="Pendiente"))=SUMPRODUCT(($J$60:$J$68=1)*1),"Pendiente","En proceso"))</f>
      </c>
      <c r="F59" s="11" t="str">
        <f>SUMPRODUCT(($J$60:$J$68=1)*($E$60:$E$68="Entregado"))&amp;" de "&amp;SUMPRODUCT(($J$60:$J$68=1)*1)</f>
      </c>
      <c r="G59" s="11" t="s">
        <v>16</v>
      </c>
      <c r="H59" s="11" t="s">
        <v>16</v>
      </c>
      <c r="I59" s="14"/>
      <c r="J59" s="11">
        <v>0</v>
      </c>
    </row>
    <row r="60" spans="1:10" ht="39.6" x14ac:dyDescent="0.3">
      <c r="A60" s="6" t="s">
        <v>144</v>
      </c>
      <c r="B60" s="7" t="s">
        <v>145</v>
      </c>
      <c r="C60" s="8" t="s">
        <v>146</v>
      </c>
      <c r="D60" s="8" t="s">
        <v>147</v>
      </c>
      <c r="E60" s="6" t="s">
        <v>19</v>
      </c>
      <c r="F60" s="9"/>
      <c r="G60" s="6"/>
      <c r="H60" s="6" t="s">
        <v>20</v>
      </c>
      <c r="I60" s="10"/>
      <c r="J60" s="6">
        <v>1</v>
      </c>
    </row>
    <row r="61" spans="1:10" ht="26.4" x14ac:dyDescent="0.3">
      <c r="A61" s="6" t="s">
        <v>148</v>
      </c>
      <c r="B61" s="7" t="s">
        <v>149</v>
      </c>
      <c r="C61" s="8" t="s">
        <v>150</v>
      </c>
      <c r="D61" s="8" t="s">
        <v>151</v>
      </c>
      <c r="E61" s="6" t="s">
        <v>19</v>
      </c>
      <c r="F61" s="9"/>
      <c r="G61" s="6"/>
      <c r="H61" s="6" t="s">
        <v>20</v>
      </c>
      <c r="I61" s="10"/>
      <c r="J61" s="6">
        <v>1</v>
      </c>
    </row>
    <row r="62" spans="1:10" ht="39.6" x14ac:dyDescent="0.3">
      <c r="A62" s="6" t="s">
        <v>152</v>
      </c>
      <c r="B62" s="7" t="s">
        <v>153</v>
      </c>
      <c r="C62" s="8" t="s">
        <v>154</v>
      </c>
      <c r="D62" s="8" t="s">
        <v>155</v>
      </c>
      <c r="E62" s="6" t="s">
        <v>19</v>
      </c>
      <c r="F62" s="9"/>
      <c r="G62" s="6"/>
      <c r="H62" s="6" t="s">
        <v>20</v>
      </c>
      <c r="I62" s="10"/>
      <c r="J62" s="6">
        <v>1</v>
      </c>
    </row>
    <row r="63" spans="1:10" ht="26.4" x14ac:dyDescent="0.3">
      <c r="A63" s="6" t="s">
        <v>156</v>
      </c>
      <c r="B63" s="7" t="s">
        <v>157</v>
      </c>
      <c r="C63" s="8" t="s">
        <v>158</v>
      </c>
      <c r="D63" s="8" t="s">
        <v>159</v>
      </c>
      <c r="E63" s="6" t="s">
        <v>19</v>
      </c>
      <c r="F63" s="9"/>
      <c r="G63" s="6"/>
      <c r="H63" s="6" t="s">
        <v>20</v>
      </c>
      <c r="I63" s="10"/>
      <c r="J63" s="6">
        <v>1</v>
      </c>
    </row>
    <row r="64" spans="1:10" ht="26.4" x14ac:dyDescent="0.3">
      <c r="A64" s="6" t="s">
        <v>160</v>
      </c>
      <c r="B64" s="7" t="s">
        <v>161</v>
      </c>
      <c r="C64" s="8" t="s">
        <v>162</v>
      </c>
      <c r="D64" s="8" t="s">
        <v>163</v>
      </c>
      <c r="E64" s="6" t="s">
        <v>19</v>
      </c>
      <c r="F64" s="9"/>
      <c r="G64" s="6"/>
      <c r="H64" s="6" t="s">
        <v>20</v>
      </c>
      <c r="I64" s="10"/>
      <c r="J64" s="6">
        <v>1</v>
      </c>
    </row>
    <row r="65" spans="1:10" ht="39.6" x14ac:dyDescent="0.3">
      <c r="A65" s="6" t="s">
        <v>164</v>
      </c>
      <c r="B65" s="7" t="s">
        <v>165</v>
      </c>
      <c r="C65" s="8" t="s">
        <v>166</v>
      </c>
      <c r="D65" s="8" t="s">
        <v>167</v>
      </c>
      <c r="E65" s="6" t="s">
        <v>19</v>
      </c>
      <c r="F65" s="9"/>
      <c r="G65" s="6"/>
      <c r="H65" s="6" t="s">
        <v>20</v>
      </c>
      <c r="I65" s="10"/>
      <c r="J65" s="6">
        <v>1</v>
      </c>
    </row>
    <row r="66" spans="1:10" ht="26.4" x14ac:dyDescent="0.3">
      <c r="A66" s="6" t="s">
        <v>168</v>
      </c>
      <c r="B66" s="7" t="s">
        <v>169</v>
      </c>
      <c r="C66" s="8" t="s">
        <v>170</v>
      </c>
      <c r="D66" s="8" t="s">
        <v>171</v>
      </c>
      <c r="E66" s="6" t="s">
        <v>19</v>
      </c>
      <c r="F66" s="9"/>
      <c r="G66" s="6"/>
      <c r="H66" s="6" t="s">
        <v>20</v>
      </c>
      <c r="I66" s="10"/>
      <c r="J66" s="6">
        <v>1</v>
      </c>
    </row>
    <row r="67" spans="1:10" ht="26.4" x14ac:dyDescent="0.3">
      <c r="A67" s="6" t="s">
        <v>172</v>
      </c>
      <c r="B67" s="7" t="s">
        <v>173</v>
      </c>
      <c r="C67" s="8" t="s">
        <v>174</v>
      </c>
      <c r="D67" s="8" t="s">
        <v>91</v>
      </c>
      <c r="E67" s="6" t="s">
        <v>19</v>
      </c>
      <c r="F67" s="9"/>
      <c r="G67" s="6"/>
      <c r="H67" s="6" t="s">
        <v>20</v>
      </c>
      <c r="I67" s="10"/>
      <c r="J67" s="6">
        <v>1</v>
      </c>
    </row>
    <row r="68" spans="1:10" ht="26.4" x14ac:dyDescent="0.3">
      <c r="A68" s="6" t="s">
        <v>175</v>
      </c>
      <c r="B68" s="7" t="s">
        <v>176</v>
      </c>
      <c r="C68" s="8" t="s">
        <v>177</v>
      </c>
      <c r="D68" s="8" t="s">
        <v>178</v>
      </c>
      <c r="E68" s="6" t="s">
        <v>19</v>
      </c>
      <c r="F68" s="9"/>
      <c r="G68" s="6"/>
      <c r="H68" s="6" t="s">
        <v>20</v>
      </c>
      <c r="I68" s="10"/>
      <c r="J68" s="6">
        <v>1</v>
      </c>
    </row>
    <row r="69" spans="1:10" ht="25.2" x14ac:dyDescent="0.3">
      <c r="A69" s="15" t="s">
        <v>179</v>
      </c>
      <c r="B69" s="16" t="s">
        <v>180</v>
      </c>
      <c r="C69" s="17" t="s">
        <v>47</v>
      </c>
      <c r="D69" s="17" t="s">
        <v>47</v>
      </c>
      <c r="E69" s="15" t="s">
        <v>19</v>
      </c>
      <c r="F69" s="18"/>
      <c r="G69" s="15"/>
      <c r="H69" s="15" t="s">
        <v>20</v>
      </c>
      <c r="I69" s="19"/>
      <c r="J69" s="15">
        <v>1</v>
      </c>
    </row>
    <row r="70" spans="1:10" ht="25.2" x14ac:dyDescent="0.3">
      <c r="A70" s="15" t="s">
        <v>181</v>
      </c>
      <c r="B70" s="16" t="s">
        <v>182</v>
      </c>
      <c r="C70" s="17" t="s">
        <v>47</v>
      </c>
      <c r="D70" s="17" t="s">
        <v>47</v>
      </c>
      <c r="E70" s="15" t="s">
        <v>19</v>
      </c>
      <c r="F70" s="18"/>
      <c r="G70" s="15"/>
      <c r="H70" s="15" t="s">
        <v>20</v>
      </c>
      <c r="I70" s="19"/>
      <c r="J70" s="15">
        <v>1</v>
      </c>
    </row>
    <row r="71" spans="1:10" x14ac:dyDescent="0.3">
      <c r="A71" s="15" t="s">
        <v>183</v>
      </c>
      <c r="B71" s="16" t="s">
        <v>184</v>
      </c>
      <c r="C71" s="17" t="s">
        <v>47</v>
      </c>
      <c r="D71" s="17" t="s">
        <v>47</v>
      </c>
      <c r="E71" s="15" t="s">
        <v>19</v>
      </c>
      <c r="F71" s="18"/>
      <c r="G71" s="15"/>
      <c r="H71" s="15" t="s">
        <v>20</v>
      </c>
      <c r="I71" s="19"/>
      <c r="J71" s="15">
        <v>1</v>
      </c>
    </row>
    <row r="72" spans="1:10" ht="25.2" x14ac:dyDescent="0.3">
      <c r="A72" s="3" t="s">
        <v>185</v>
      </c>
      <c r="B72" s="4" t="s">
        <v>186</v>
      </c>
      <c r="C72" s="4" t="s">
        <v>187</v>
      </c>
      <c r="D72" s="4" t="s">
        <v>188</v>
      </c>
      <c r="E72" s="3" t="str">
        <f>IF(SUMPRODUCT(($J$73:$J$76=1)*($E$73:$E$76="Entregado"))=SUMPRODUCT(($J$73:$J$76=1)*1),"Completo",IF(SUMPRODUCT(($J$73:$J$76=1)*($E$73:$E$76="Pendiente"))=SUMPRODUCT(($J$73:$J$76=1)*1),"Pendiente","En proceso"))</f>
      </c>
      <c r="F72" s="3" t="str">
        <f>SUMPRODUCT(($J$73:$J$76=1)*($E$73:$E$76="Entregado"))&amp;" de "&amp;SUMPRODUCT(($J$73:$J$76=1)*1)</f>
      </c>
      <c r="G72" s="3" t="s">
        <v>16</v>
      </c>
      <c r="H72" s="3" t="s">
        <v>16</v>
      </c>
      <c r="I72" s="5"/>
      <c r="J72" s="3">
        <v>0</v>
      </c>
    </row>
    <row r="73" spans="1:10" ht="26.4" x14ac:dyDescent="0.3">
      <c r="A73" s="6" t="s">
        <v>189</v>
      </c>
      <c r="B73" s="7" t="s">
        <v>190</v>
      </c>
      <c r="C73" s="8" t="s">
        <v>187</v>
      </c>
      <c r="D73" s="8" t="s">
        <v>188</v>
      </c>
      <c r="E73" s="6" t="inlineStr">
        <is>
          <t xml:space="preserve">Entregado</t>
        </is>
      </c>
      <c r="F73" s="9" t="n">
        <v>46307</v>
      </c>
      <c r="G73" s="6" t="inlineStr">
        <is>
          <t xml:space="preserve">Word</t>
        </is>
      </c>
      <c r="H73" s="6" t="inlineStr">
        <is>
          <t xml:space="preserve">Sí</t>
        </is>
      </c>
      <c r="I73" s="10" t="inlineStr">
        <is>
          <t xml:space="preserve">Informe Subcomisión 5 Admisión, promoción y graduación. Adaptado en: 5. Admisión, promoción y graduación.docx</t>
        </is>
      </c>
      <c r="J73" s="6">
        <v>1</v>
      </c>
    </row>
    <row r="74" spans="1:10" ht="26.4" x14ac:dyDescent="0.3">
      <c r="A74" s="6" t="s">
        <v>191</v>
      </c>
      <c r="B74" s="7" t="s">
        <v>192</v>
      </c>
      <c r="C74" s="8" t="s">
        <v>187</v>
      </c>
      <c r="D74" s="8" t="s">
        <v>188</v>
      </c>
      <c r="E74" s="6" t="inlineStr">
        <is>
          <t xml:space="preserve">Entregado</t>
        </is>
      </c>
      <c r="F74" s="9" t="n">
        <v>46307</v>
      </c>
      <c r="G74" s="6" t="inlineStr">
        <is>
          <t xml:space="preserve">Word</t>
        </is>
      </c>
      <c r="H74" s="6" t="inlineStr">
        <is>
          <t xml:space="preserve">Sí</t>
        </is>
      </c>
      <c r="I74" s="10" t="inlineStr">
        <is>
          <t xml:space="preserve">Informe Subcomisión 5 Admisión, promoción y graduación. Adaptado en: 5. Admisión, promoción y graduación.docx</t>
        </is>
      </c>
      <c r="J74" s="6">
        <v>1</v>
      </c>
    </row>
    <row r="75" spans="1:10" ht="26.4" x14ac:dyDescent="0.3">
      <c r="A75" s="6" t="s">
        <v>193</v>
      </c>
      <c r="B75" s="7" t="s">
        <v>194</v>
      </c>
      <c r="C75" s="8" t="s">
        <v>195</v>
      </c>
      <c r="D75" s="8" t="s">
        <v>196</v>
      </c>
      <c r="E75" s="6" t="inlineStr">
        <is>
          <t xml:space="preserve">Entregado</t>
        </is>
      </c>
      <c r="F75" s="9" t="n">
        <v>46307</v>
      </c>
      <c r="G75" s="6" t="inlineStr">
        <is>
          <t xml:space="preserve">Word</t>
        </is>
      </c>
      <c r="H75" s="6" t="inlineStr">
        <is>
          <t xml:space="preserve">Sí</t>
        </is>
      </c>
      <c r="I75" s="10" t="inlineStr">
        <is>
          <t xml:space="preserve">Informe Subcomisión 5 Admisión, promoción y graduación. Adaptado en: 5. Admisión, promoción y graduación.docx</t>
        </is>
      </c>
      <c r="J75" s="6">
        <v>1</v>
      </c>
    </row>
    <row r="76" spans="1:10" x14ac:dyDescent="0.3">
      <c r="A76" s="6" t="s">
        <v>197</v>
      </c>
      <c r="B76" s="7" t="s">
        <v>198</v>
      </c>
      <c r="C76" s="8" t="s">
        <v>195</v>
      </c>
      <c r="D76" s="8" t="s">
        <v>196</v>
      </c>
      <c r="E76" s="6" t="inlineStr">
        <is>
          <t xml:space="preserve">Entregado</t>
        </is>
      </c>
      <c r="F76" s="9" t="n">
        <v>46307</v>
      </c>
      <c r="G76" s="6" t="inlineStr">
        <is>
          <t xml:space="preserve">Word</t>
        </is>
      </c>
      <c r="H76" s="6" t="inlineStr">
        <is>
          <t xml:space="preserve">Sí</t>
        </is>
      </c>
      <c r="I76" s="10" t="inlineStr">
        <is>
          <t xml:space="preserve">Informe Subcomisión 5 Admisión, promoción y graduación. Adaptado en: 5. Admisión, promoción y graduación.docx</t>
        </is>
      </c>
      <c r="J76" s="6">
        <v>1</v>
      </c>
    </row>
    <row r="77" spans="1:10" ht="25.2" x14ac:dyDescent="0.3">
      <c r="A77" s="3" t="s">
        <v>199</v>
      </c>
      <c r="B77" s="4" t="s">
        <v>200</v>
      </c>
      <c r="C77" s="4" t="s">
        <v>90</v>
      </c>
      <c r="D77" s="4" t="s">
        <v>201</v>
      </c>
      <c r="E77" s="3" t="str">
        <f>IF(SUMPRODUCT(($J$78:$J$79=1)*($E$78:$E$79="Entregado"))=SUMPRODUCT(($J$78:$J$79=1)*1),"Completo",IF(SUMPRODUCT(($J$78:$J$79=1)*($E$78:$E$79="Pendiente"))=SUMPRODUCT(($J$78:$J$79=1)*1),"Pendiente","En proceso"))</f>
      </c>
      <c r="F77" s="3" t="str">
        <f>SUMPRODUCT(($J$78:$J$79=1)*($E$78:$E$79="Entregado"))&amp;" de "&amp;SUMPRODUCT(($J$78:$J$79=1)*1)</f>
      </c>
      <c r="G77" s="3" t="s">
        <v>16</v>
      </c>
      <c r="H77" s="3" t="s">
        <v>16</v>
      </c>
      <c r="I77" s="5"/>
      <c r="J77" s="3">
        <v>0</v>
      </c>
    </row>
    <row r="78" spans="1:10" ht="26.4" x14ac:dyDescent="0.3">
      <c r="A78" s="6" t="s">
        <v>202</v>
      </c>
      <c r="B78" s="7" t="s">
        <v>203</v>
      </c>
      <c r="C78" s="8" t="s">
        <v>90</v>
      </c>
      <c r="D78" s="8" t="s">
        <v>201</v>
      </c>
      <c r="E78" s="6" t="inlineStr">
        <is>
          <t xml:space="preserve">Entregado</t>
        </is>
      </c>
      <c r="F78" s="9" t="n">
        <v>46307</v>
      </c>
      <c r="G78" s="6" t="inlineStr">
        <is>
          <t xml:space="preserve">Word</t>
        </is>
      </c>
      <c r="H78" s="6" t="inlineStr">
        <is>
          <t xml:space="preserve">Sí</t>
        </is>
      </c>
      <c r="I78" s="10" t="inlineStr">
        <is>
          <t xml:space="preserve">Informe Subcomisión 6 Investigación. Adaptado en: 6. Investigación.docx</t>
        </is>
      </c>
      <c r="J78" s="6">
        <v>1</v>
      </c>
    </row>
    <row r="79" spans="1:10" ht="26.4" x14ac:dyDescent="0.3">
      <c r="A79" s="6" t="s">
        <v>204</v>
      </c>
      <c r="B79" s="7" t="s">
        <v>205</v>
      </c>
      <c r="C79" s="8" t="s">
        <v>90</v>
      </c>
      <c r="D79" s="8" t="s">
        <v>201</v>
      </c>
      <c r="E79" s="6" t="inlineStr">
        <is>
          <t xml:space="preserve">Entregado</t>
        </is>
      </c>
      <c r="F79" s="9" t="n">
        <v>46307</v>
      </c>
      <c r="G79" s="6" t="inlineStr">
        <is>
          <t xml:space="preserve">Word</t>
        </is>
      </c>
      <c r="H79" s="6" t="inlineStr">
        <is>
          <t xml:space="preserve">Sí</t>
        </is>
      </c>
      <c r="I79" s="10" t="inlineStr">
        <is>
          <t xml:space="preserve">Informe Subcomisión 6 Investigación. Adaptado en: 6. Investigación.docx</t>
        </is>
      </c>
      <c r="J79" s="6">
        <v>1</v>
      </c>
    </row>
    <row r="80" spans="1:10" x14ac:dyDescent="0.3">
      <c r="A80" s="3" t="s">
        <v>206</v>
      </c>
      <c r="B80" s="4" t="s">
        <v>207</v>
      </c>
      <c r="C80" s="4" t="s">
        <v>208</v>
      </c>
      <c r="D80" s="4" t="s">
        <v>209</v>
      </c>
      <c r="E80" s="3" t="str">
        <f>IF(SUMPRODUCT(($J$81:$J$82=1)*($E$81:$E$82="Entregado"))=SUMPRODUCT(($J$81:$J$82=1)*1),"Completo",IF(SUMPRODUCT(($J$81:$J$82=1)*($E$81:$E$82="Pendiente"))=SUMPRODUCT(($J$81:$J$82=1)*1),"Pendiente","En proceso"))</f>
      </c>
      <c r="F80" s="3" t="str">
        <f>SUMPRODUCT(($J$81:$J$82=1)*($E$81:$E$82="Entregado"))&amp;" de "&amp;SUMPRODUCT(($J$81:$J$82=1)*1)</f>
      </c>
      <c r="G80" s="3" t="s">
        <v>16</v>
      </c>
      <c r="H80" s="3" t="s">
        <v>16</v>
      </c>
      <c r="I80" s="5"/>
      <c r="J80" s="3">
        <v>0</v>
      </c>
    </row>
    <row r="81" spans="1:10" x14ac:dyDescent="0.3">
      <c r="A81" s="6" t="s">
        <v>210</v>
      </c>
      <c r="B81" s="7" t="s">
        <v>211</v>
      </c>
      <c r="C81" s="8" t="s">
        <v>208</v>
      </c>
      <c r="D81" s="8" t="s">
        <v>209</v>
      </c>
      <c r="E81" s="6" t="s">
        <v>19</v>
      </c>
      <c r="F81" s="9"/>
      <c r="G81" s="6"/>
      <c r="H81" s="6" t="s">
        <v>20</v>
      </c>
      <c r="I81" s="10"/>
      <c r="J81" s="6">
        <v>1</v>
      </c>
    </row>
    <row r="82" spans="1:10" x14ac:dyDescent="0.3">
      <c r="A82" s="6" t="s">
        <v>212</v>
      </c>
      <c r="B82" s="7" t="s">
        <v>213</v>
      </c>
      <c r="C82" s="8" t="s">
        <v>208</v>
      </c>
      <c r="D82" s="8" t="s">
        <v>209</v>
      </c>
      <c r="E82" s="6" t="s">
        <v>19</v>
      </c>
      <c r="F82" s="9"/>
      <c r="G82" s="6"/>
      <c r="H82" s="6" t="s">
        <v>20</v>
      </c>
      <c r="I82" s="10"/>
      <c r="J82" s="6">
        <v>1</v>
      </c>
    </row>
    <row r="83" spans="1:10" x14ac:dyDescent="0.3">
      <c r="A83" s="3" t="s">
        <v>214</v>
      </c>
      <c r="B83" s="4" t="s">
        <v>215</v>
      </c>
      <c r="C83" s="4" t="s">
        <v>132</v>
      </c>
      <c r="D83" s="4" t="s">
        <v>132</v>
      </c>
      <c r="E83" s="3" t="str">
        <f>IF(SUMPRODUCT(($J$84:$J$89=1)*($E$84:$E$89="Entregado"))=SUMPRODUCT(($J$84:$J$89=1)*1),"Completo",IF(SUMPRODUCT(($J$84:$J$89=1)*($E$84:$E$89="Pendiente"))=SUMPRODUCT(($J$84:$J$89=1)*1),"Pendiente","En proceso"))</f>
      </c>
      <c r="F83" s="3" t="str">
        <f>SUMPRODUCT(($J$84:$J$89=1)*($E$84:$E$89="Entregado"))&amp;" de "&amp;SUMPRODUCT(($J$84:$J$89=1)*1)</f>
      </c>
      <c r="G83" s="3" t="s">
        <v>16</v>
      </c>
      <c r="H83" s="3" t="s">
        <v>16</v>
      </c>
      <c r="I83" s="5"/>
      <c r="J83" s="3">
        <v>0</v>
      </c>
    </row>
    <row r="84" spans="1:10" x14ac:dyDescent="0.3">
      <c r="A84" s="6" t="s">
        <v>216</v>
      </c>
      <c r="B84" s="7" t="s">
        <v>217</v>
      </c>
      <c r="C84" s="8" t="s">
        <v>132</v>
      </c>
      <c r="D84" s="8" t="s">
        <v>132</v>
      </c>
      <c r="E84" s="6" t="s">
        <v>19</v>
      </c>
      <c r="F84" s="9"/>
      <c r="G84" s="6"/>
      <c r="H84" s="6" t="s">
        <v>20</v>
      </c>
      <c r="I84" s="10"/>
      <c r="J84" s="6">
        <v>1</v>
      </c>
    </row>
    <row r="85" spans="1:10" x14ac:dyDescent="0.3">
      <c r="A85" s="6" t="s">
        <v>218</v>
      </c>
      <c r="B85" s="7" t="s">
        <v>219</v>
      </c>
      <c r="C85" s="8" t="s">
        <v>132</v>
      </c>
      <c r="D85" s="8" t="s">
        <v>132</v>
      </c>
      <c r="E85" s="6" t="s">
        <v>19</v>
      </c>
      <c r="F85" s="9"/>
      <c r="G85" s="6"/>
      <c r="H85" s="6" t="s">
        <v>20</v>
      </c>
      <c r="I85" s="10"/>
      <c r="J85" s="6">
        <v>1</v>
      </c>
    </row>
    <row r="86" spans="1:10" x14ac:dyDescent="0.3">
      <c r="A86" s="6" t="s">
        <v>220</v>
      </c>
      <c r="B86" s="7" t="s">
        <v>221</v>
      </c>
      <c r="C86" s="8" t="s">
        <v>132</v>
      </c>
      <c r="D86" s="8" t="s">
        <v>132</v>
      </c>
      <c r="E86" s="6" t="s">
        <v>19</v>
      </c>
      <c r="F86" s="9"/>
      <c r="G86" s="6"/>
      <c r="H86" s="6" t="s">
        <v>20</v>
      </c>
      <c r="I86" s="10"/>
      <c r="J86" s="6">
        <v>1</v>
      </c>
    </row>
    <row r="87" spans="1:10" ht="26.4" x14ac:dyDescent="0.3">
      <c r="A87" s="6" t="s">
        <v>222</v>
      </c>
      <c r="B87" s="7" t="s">
        <v>223</v>
      </c>
      <c r="C87" s="8" t="s">
        <v>132</v>
      </c>
      <c r="D87" s="8" t="s">
        <v>132</v>
      </c>
      <c r="E87" s="6" t="s">
        <v>19</v>
      </c>
      <c r="F87" s="9"/>
      <c r="G87" s="6"/>
      <c r="H87" s="6" t="s">
        <v>20</v>
      </c>
      <c r="I87" s="10"/>
      <c r="J87" s="6">
        <v>1</v>
      </c>
    </row>
    <row r="88" spans="1:10" x14ac:dyDescent="0.3">
      <c r="A88" s="6" t="s">
        <v>224</v>
      </c>
      <c r="B88" s="7" t="s">
        <v>225</v>
      </c>
      <c r="C88" s="8" t="s">
        <v>132</v>
      </c>
      <c r="D88" s="8" t="s">
        <v>132</v>
      </c>
      <c r="E88" s="6" t="s">
        <v>19</v>
      </c>
      <c r="F88" s="9"/>
      <c r="G88" s="6"/>
      <c r="H88" s="6" t="s">
        <v>20</v>
      </c>
      <c r="I88" s="10"/>
      <c r="J88" s="6">
        <v>1</v>
      </c>
    </row>
    <row r="89" spans="1:10" x14ac:dyDescent="0.3">
      <c r="A89" s="6" t="s">
        <v>226</v>
      </c>
      <c r="B89" s="7" t="s">
        <v>227</v>
      </c>
      <c r="C89" s="8" t="s">
        <v>132</v>
      </c>
      <c r="D89" s="8" t="s">
        <v>132</v>
      </c>
      <c r="E89" s="6" t="s">
        <v>19</v>
      </c>
      <c r="F89" s="9"/>
      <c r="G89" s="6"/>
      <c r="H89" s="6" t="s">
        <v>20</v>
      </c>
      <c r="I89" s="10"/>
      <c r="J89" s="6">
        <v>1</v>
      </c>
    </row>
    <row r="90" spans="1:10" x14ac:dyDescent="0.3">
      <c r="A90" s="3" t="s">
        <v>228</v>
      </c>
      <c r="B90" s="4" t="s">
        <v>229</v>
      </c>
      <c r="C90" s="4" t="s">
        <v>230</v>
      </c>
      <c r="D90" s="4" t="s">
        <v>231</v>
      </c>
      <c r="E90" s="3" t="str">
        <f>IF(SUMPRODUCT(($J$91:$J$94=1)*($E$91:$E$94="Entregado"))=SUMPRODUCT(($J$91:$J$94=1)*1),"Completo",IF(SUMPRODUCT(($J$91:$J$94=1)*($E$91:$E$94="Pendiente"))=SUMPRODUCT(($J$91:$J$94=1)*1),"Pendiente","En proceso"))</f>
      </c>
      <c r="F90" s="3" t="str">
        <f>SUMPRODUCT(($J$91:$J$94=1)*($E$91:$E$94="Entregado"))&amp;" de "&amp;SUMPRODUCT(($J$91:$J$94=1)*1)</f>
      </c>
      <c r="G90" s="3" t="s">
        <v>16</v>
      </c>
      <c r="H90" s="3" t="s">
        <v>16</v>
      </c>
      <c r="I90" s="5"/>
      <c r="J90" s="3">
        <v>0</v>
      </c>
    </row>
    <row r="91" spans="1:10" ht="26.4" x14ac:dyDescent="0.3">
      <c r="A91" s="6" t="s">
        <v>232</v>
      </c>
      <c r="B91" s="7" t="s">
        <v>233</v>
      </c>
      <c r="C91" s="8" t="s">
        <v>230</v>
      </c>
      <c r="D91" s="8" t="s">
        <v>231</v>
      </c>
      <c r="E91" s="6" t="inlineStr">
        <is>
          <t xml:space="preserve">Entregado</t>
        </is>
      </c>
      <c r="F91" s="9" t="n">
        <v>46307</v>
      </c>
      <c r="G91" s="6" t="inlineStr">
        <is>
          <t xml:space="preserve">Excel</t>
        </is>
      </c>
      <c r="H91" s="6" t="inlineStr">
        <is>
          <t xml:space="preserve">Sí</t>
        </is>
      </c>
      <c r="I91" s="10" t="inlineStr">
        <is>
          <t xml:space="preserve">52 listados de bibliografía por asignatura (43) y de trabajos de grado (7). Adaptado en: 9. Material bibliográfico.docx</t>
        </is>
      </c>
      <c r="J91" s="6">
        <v>1</v>
      </c>
    </row>
    <row r="92" spans="1:10" ht="26.4" x14ac:dyDescent="0.3">
      <c r="A92" s="6" t="s">
        <v>234</v>
      </c>
      <c r="B92" s="7" t="s">
        <v>235</v>
      </c>
      <c r="C92" s="8" t="s">
        <v>230</v>
      </c>
      <c r="D92" s="8" t="s">
        <v>231</v>
      </c>
      <c r="E92" s="6" t="s">
        <v>19</v>
      </c>
      <c r="F92" s="9"/>
      <c r="G92" s="6"/>
      <c r="H92" s="6" t="s">
        <v>20</v>
      </c>
      <c r="I92" s="10"/>
      <c r="J92" s="6">
        <v>1</v>
      </c>
    </row>
    <row r="93" spans="1:10" ht="26.4" x14ac:dyDescent="0.3">
      <c r="A93" s="6" t="s">
        <v>236</v>
      </c>
      <c r="B93" s="7" t="s">
        <v>237</v>
      </c>
      <c r="C93" s="8" t="s">
        <v>238</v>
      </c>
      <c r="D93" s="8" t="s">
        <v>239</v>
      </c>
      <c r="E93" s="6" t="s">
        <v>19</v>
      </c>
      <c r="F93" s="9"/>
      <c r="G93" s="6"/>
      <c r="H93" s="6" t="s">
        <v>20</v>
      </c>
      <c r="I93" s="10"/>
      <c r="J93" s="6">
        <v>1</v>
      </c>
    </row>
    <row r="94" spans="1:10" ht="26.4" x14ac:dyDescent="0.3">
      <c r="A94" s="6" t="s">
        <v>240</v>
      </c>
      <c r="B94" s="7" t="s">
        <v>241</v>
      </c>
      <c r="C94" s="8" t="s">
        <v>238</v>
      </c>
      <c r="D94" s="8" t="s">
        <v>239</v>
      </c>
      <c r="E94" s="6" t="s">
        <v>19</v>
      </c>
      <c r="F94" s="9"/>
      <c r="G94" s="6"/>
      <c r="H94" s="6" t="s">
        <v>20</v>
      </c>
      <c r="I94" s="10"/>
      <c r="J94" s="6">
        <v>1</v>
      </c>
    </row>
    <row r="95" spans="1:10" x14ac:dyDescent="0.3">
      <c r="A95" s="3" t="s">
        <v>242</v>
      </c>
      <c r="B95" s="4" t="s">
        <v>243</v>
      </c>
      <c r="C95" s="4" t="s">
        <v>244</v>
      </c>
      <c r="D95" s="4" t="s">
        <v>245</v>
      </c>
      <c r="E95" s="3" t="str">
        <f>IF(SUMPRODUCT(($J$96:$J$107=1)*($E$96:$E$107="Entregado"))=SUMPRODUCT(($J$96:$J$107=1)*1),"Completo",IF(SUMPRODUCT(($J$96:$J$107=1)*($E$96:$E$107="Pendiente"))=SUMPRODUCT(($J$96:$J$107=1)*1),"Pendiente","En proceso"))</f>
      </c>
      <c r="F95" s="3" t="str">
        <f>SUMPRODUCT(($J$96:$J$107=1)*($E$96:$E$107="Entregado"))&amp;" de "&amp;SUMPRODUCT(($J$96:$J$107=1)*1)</f>
      </c>
      <c r="G95" s="3" t="s">
        <v>16</v>
      </c>
      <c r="H95" s="3" t="s">
        <v>16</v>
      </c>
      <c r="I95" s="5"/>
      <c r="J95" s="3">
        <v>0</v>
      </c>
    </row>
    <row r="96" spans="1:10" x14ac:dyDescent="0.3">
      <c r="A96" s="6" t="s">
        <v>246</v>
      </c>
      <c r="B96" s="7" t="s">
        <v>247</v>
      </c>
      <c r="C96" s="8" t="s">
        <v>244</v>
      </c>
      <c r="D96" s="8" t="s">
        <v>245</v>
      </c>
      <c r="E96" s="6" t="inlineStr">
        <is>
          <t xml:space="preserve">Entregado</t>
        </is>
      </c>
      <c r="F96" s="9" t="n">
        <v>46307</v>
      </c>
      <c r="G96" s="6" t="inlineStr">
        <is>
          <t xml:space="preserve">Word</t>
        </is>
      </c>
      <c r="H96" s="6" t="inlineStr">
        <is>
          <t xml:space="preserve">Sí</t>
        </is>
      </c>
      <c r="I96" s="10" t="inlineStr">
        <is>
          <t xml:space="preserve">Documento 10 Recursos educativos. Adaptado en: 10. Recursos educativos.docx</t>
        </is>
      </c>
      <c r="J96" s="6">
        <v>1</v>
      </c>
    </row>
    <row r="97" spans="1:10" x14ac:dyDescent="0.3">
      <c r="A97" s="6" t="s">
        <v>248</v>
      </c>
      <c r="B97" s="7" t="s">
        <v>249</v>
      </c>
      <c r="C97" s="8" t="s">
        <v>244</v>
      </c>
      <c r="D97" s="8" t="s">
        <v>245</v>
      </c>
      <c r="E97" s="6" t="inlineStr">
        <is>
          <t xml:space="preserve">Entregado</t>
        </is>
      </c>
      <c r="F97" s="9" t="n">
        <v>46307</v>
      </c>
      <c r="G97" s="6" t="inlineStr">
        <is>
          <t xml:space="preserve">Word</t>
        </is>
      </c>
      <c r="H97" s="6" t="inlineStr">
        <is>
          <t xml:space="preserve">Sí</t>
        </is>
      </c>
      <c r="I97" s="10" t="inlineStr">
        <is>
          <t xml:space="preserve">Documento 10 Recursos educativos. Adaptado en: 10. Recursos educativos.docx</t>
        </is>
      </c>
      <c r="J97" s="6">
        <v>1</v>
      </c>
    </row>
    <row r="98" spans="1:10" x14ac:dyDescent="0.3">
      <c r="A98" s="6" t="s">
        <v>250</v>
      </c>
      <c r="B98" s="7" t="s">
        <v>251</v>
      </c>
      <c r="C98" s="8" t="s">
        <v>244</v>
      </c>
      <c r="D98" s="8" t="s">
        <v>245</v>
      </c>
      <c r="E98" s="6" t="inlineStr">
        <is>
          <t xml:space="preserve">Entregado</t>
        </is>
      </c>
      <c r="F98" s="9" t="n">
        <v>46307</v>
      </c>
      <c r="G98" s="6" t="inlineStr">
        <is>
          <t xml:space="preserve">Word</t>
        </is>
      </c>
      <c r="H98" s="6" t="inlineStr">
        <is>
          <t xml:space="preserve">Sí</t>
        </is>
      </c>
      <c r="I98" s="10" t="inlineStr">
        <is>
          <t xml:space="preserve">Documento 10 Recursos educativos. Adaptado en: 10. Recursos educativos.docx</t>
        </is>
      </c>
      <c r="J98" s="6">
        <v>1</v>
      </c>
    </row>
    <row r="99" spans="1:10" x14ac:dyDescent="0.3">
      <c r="A99" s="6" t="s">
        <v>252</v>
      </c>
      <c r="B99" s="7" t="s">
        <v>253</v>
      </c>
      <c r="C99" s="8" t="s">
        <v>244</v>
      </c>
      <c r="D99" s="8" t="s">
        <v>245</v>
      </c>
      <c r="E99" s="6" t="inlineStr">
        <is>
          <t xml:space="preserve">Entregado</t>
        </is>
      </c>
      <c r="F99" s="9" t="n">
        <v>46307</v>
      </c>
      <c r="G99" s="6" t="inlineStr">
        <is>
          <t xml:space="preserve">Word</t>
        </is>
      </c>
      <c r="H99" s="6" t="inlineStr">
        <is>
          <t xml:space="preserve">Sí</t>
        </is>
      </c>
      <c r="I99" s="10" t="inlineStr">
        <is>
          <t xml:space="preserve">Documento 10 Recursos educativos. Adaptado en: 10. Recursos educativos.docx</t>
        </is>
      </c>
      <c r="J99" s="6">
        <v>1</v>
      </c>
    </row>
    <row r="100" spans="1:10" ht="26.4" x14ac:dyDescent="0.3">
      <c r="A100" s="6" t="s">
        <v>254</v>
      </c>
      <c r="B100" s="7" t="s">
        <v>255</v>
      </c>
      <c r="C100" s="8" t="s">
        <v>80</v>
      </c>
      <c r="D100" s="8" t="s">
        <v>256</v>
      </c>
      <c r="E100" s="6" t="inlineStr">
        <is>
          <t xml:space="preserve">Entregado</t>
        </is>
      </c>
      <c r="F100" s="9" t="n">
        <v>46307</v>
      </c>
      <c r="G100" s="6" t="inlineStr">
        <is>
          <t xml:space="preserve">Word</t>
        </is>
      </c>
      <c r="H100" s="6" t="inlineStr">
        <is>
          <t xml:space="preserve">Sí</t>
        </is>
      </c>
      <c r="I100" s="10" t="inlineStr">
        <is>
          <t xml:space="preserve">Documento 10 Recursos educativos. Adaptado en: 10. Recursos educativos.docx</t>
        </is>
      </c>
      <c r="J100" s="6">
        <v>1</v>
      </c>
    </row>
    <row r="101" spans="1:10" ht="26.4" x14ac:dyDescent="0.3">
      <c r="A101" s="6" t="s">
        <v>257</v>
      </c>
      <c r="B101" s="7" t="s">
        <v>258</v>
      </c>
      <c r="C101" s="8" t="s">
        <v>80</v>
      </c>
      <c r="D101" s="8" t="s">
        <v>256</v>
      </c>
      <c r="E101" s="6" t="inlineStr">
        <is>
          <t xml:space="preserve">Entregado</t>
        </is>
      </c>
      <c r="F101" s="9" t="n">
        <v>46307</v>
      </c>
      <c r="G101" s="6" t="inlineStr">
        <is>
          <t xml:space="preserve">Word</t>
        </is>
      </c>
      <c r="H101" s="6" t="inlineStr">
        <is>
          <t xml:space="preserve">Sí</t>
        </is>
      </c>
      <c r="I101" s="10" t="inlineStr">
        <is>
          <t xml:space="preserve">Documento 10 Recursos educativos. Adaptado en: 10. Recursos educativos.docx</t>
        </is>
      </c>
      <c r="J101" s="6">
        <v>1</v>
      </c>
    </row>
    <row r="102" spans="1:10" ht="26.4" x14ac:dyDescent="0.3">
      <c r="A102" s="6" t="s">
        <v>259</v>
      </c>
      <c r="B102" s="7" t="s">
        <v>260</v>
      </c>
      <c r="C102" s="8" t="s">
        <v>80</v>
      </c>
      <c r="D102" s="8" t="s">
        <v>256</v>
      </c>
      <c r="E102" s="6" t="inlineStr">
        <is>
          <t xml:space="preserve">Entregado</t>
        </is>
      </c>
      <c r="F102" s="9" t="n">
        <v>46307</v>
      </c>
      <c r="G102" s="6" t="inlineStr">
        <is>
          <t xml:space="preserve">Word</t>
        </is>
      </c>
      <c r="H102" s="6" t="inlineStr">
        <is>
          <t xml:space="preserve">Sí</t>
        </is>
      </c>
      <c r="I102" s="10" t="inlineStr">
        <is>
          <t xml:space="preserve">Documento 10 Recursos educativos. Adaptado en: 10. Recursos educativos.docx</t>
        </is>
      </c>
      <c r="J102" s="6">
        <v>1</v>
      </c>
    </row>
    <row r="103" spans="1:10" ht="26.4" x14ac:dyDescent="0.3">
      <c r="A103" s="6" t="s">
        <v>261</v>
      </c>
      <c r="B103" s="7" t="s">
        <v>262</v>
      </c>
      <c r="C103" s="8" t="s">
        <v>80</v>
      </c>
      <c r="D103" s="8" t="s">
        <v>256</v>
      </c>
      <c r="E103" s="6" t="inlineStr">
        <is>
          <t xml:space="preserve">Entregado</t>
        </is>
      </c>
      <c r="F103" s="9" t="n">
        <v>46307</v>
      </c>
      <c r="G103" s="6" t="inlineStr">
        <is>
          <t xml:space="preserve">Word</t>
        </is>
      </c>
      <c r="H103" s="6" t="inlineStr">
        <is>
          <t xml:space="preserve">Sí</t>
        </is>
      </c>
      <c r="I103" s="10" t="inlineStr">
        <is>
          <t xml:space="preserve">Documento 10 Recursos educativos. Adaptado en: 10. Recursos educativos.docx</t>
        </is>
      </c>
      <c r="J103" s="6">
        <v>1</v>
      </c>
    </row>
    <row r="104" spans="1:10" ht="26.4" x14ac:dyDescent="0.3">
      <c r="A104" s="6" t="s">
        <v>263</v>
      </c>
      <c r="B104" s="7" t="s">
        <v>264</v>
      </c>
      <c r="C104" s="8" t="s">
        <v>80</v>
      </c>
      <c r="D104" s="8" t="s">
        <v>256</v>
      </c>
      <c r="E104" s="6" t="inlineStr">
        <is>
          <t xml:space="preserve">Entregado</t>
        </is>
      </c>
      <c r="F104" s="9" t="n">
        <v>46307</v>
      </c>
      <c r="G104" s="6" t="inlineStr">
        <is>
          <t xml:space="preserve">Word</t>
        </is>
      </c>
      <c r="H104" s="6" t="inlineStr">
        <is>
          <t xml:space="preserve">Sí</t>
        </is>
      </c>
      <c r="I104" s="10" t="inlineStr">
        <is>
          <t xml:space="preserve">Documento 10 Recursos educativos. Adaptado en: 10. Recursos educativos.docx</t>
        </is>
      </c>
      <c r="J104" s="6">
        <v>1</v>
      </c>
    </row>
    <row r="105" spans="1:10" x14ac:dyDescent="0.3">
      <c r="A105" s="6" t="s">
        <v>265</v>
      </c>
      <c r="B105" s="7" t="s">
        <v>266</v>
      </c>
      <c r="C105" s="8" t="s">
        <v>267</v>
      </c>
      <c r="D105" s="8" t="s">
        <v>268</v>
      </c>
      <c r="E105" s="6" t="inlineStr">
        <is>
          <t xml:space="preserve">Entregado</t>
        </is>
      </c>
      <c r="F105" s="9" t="n">
        <v>46307</v>
      </c>
      <c r="G105" s="6" t="inlineStr">
        <is>
          <t xml:space="preserve">Word</t>
        </is>
      </c>
      <c r="H105" s="6" t="inlineStr">
        <is>
          <t xml:space="preserve">Sí</t>
        </is>
      </c>
      <c r="I105" s="10" t="inlineStr">
        <is>
          <t xml:space="preserve">Documento 10 Recursos educativos. Adaptado en: 10. Recursos educativos.docx</t>
        </is>
      </c>
      <c r="J105" s="6">
        <v>1</v>
      </c>
    </row>
    <row r="106" spans="1:10" x14ac:dyDescent="0.3">
      <c r="A106" s="6" t="s">
        <v>269</v>
      </c>
      <c r="B106" s="7" t="s">
        <v>270</v>
      </c>
      <c r="C106" s="8" t="s">
        <v>267</v>
      </c>
      <c r="D106" s="8" t="s">
        <v>268</v>
      </c>
      <c r="E106" s="6" t="inlineStr">
        <is>
          <t xml:space="preserve">Entregado</t>
        </is>
      </c>
      <c r="F106" s="9" t="n">
        <v>46307</v>
      </c>
      <c r="G106" s="6" t="inlineStr">
        <is>
          <t xml:space="preserve">Word</t>
        </is>
      </c>
      <c r="H106" s="6" t="inlineStr">
        <is>
          <t xml:space="preserve">Sí</t>
        </is>
      </c>
      <c r="I106" s="10" t="inlineStr">
        <is>
          <t xml:space="preserve">Documento 10 Recursos educativos. Adaptado en: 10. Recursos educativos.docx</t>
        </is>
      </c>
      <c r="J106" s="6">
        <v>1</v>
      </c>
    </row>
    <row r="107" spans="1:10" x14ac:dyDescent="0.3">
      <c r="A107" s="6" t="s">
        <v>271</v>
      </c>
      <c r="B107" s="7" t="s">
        <v>272</v>
      </c>
      <c r="C107" s="8" t="s">
        <v>267</v>
      </c>
      <c r="D107" s="8" t="s">
        <v>268</v>
      </c>
      <c r="E107" s="6" t="inlineStr">
        <is>
          <t xml:space="preserve">Entregado</t>
        </is>
      </c>
      <c r="F107" s="9" t="n">
        <v>46307</v>
      </c>
      <c r="G107" s="6" t="inlineStr">
        <is>
          <t xml:space="preserve">Word</t>
        </is>
      </c>
      <c r="H107" s="6" t="inlineStr">
        <is>
          <t xml:space="preserve">Sí</t>
        </is>
      </c>
      <c r="I107" s="10" t="inlineStr">
        <is>
          <t xml:space="preserve">Documento 10 Recursos educativos. Adaptado en: 10. Recursos educativos.docx</t>
        </is>
      </c>
      <c r="J107" s="6">
        <v>1</v>
      </c>
    </row>
    <row r="108" spans="1:10" ht="25.2" x14ac:dyDescent="0.3">
      <c r="A108" s="3" t="s">
        <v>273</v>
      </c>
      <c r="B108" s="4" t="s">
        <v>274</v>
      </c>
      <c r="C108" s="4" t="s">
        <v>187</v>
      </c>
      <c r="D108" s="4" t="s">
        <v>275</v>
      </c>
      <c r="E108" s="3" t="str">
        <f>IF(SUMPRODUCT(($J$109:$J$111=1)*($E$109:$E$111="Entregado"))=SUMPRODUCT(($J$109:$J$111=1)*1),"Completo",IF(SUMPRODUCT(($J$109:$J$111=1)*($E$109:$E$111="Pendiente"))=SUMPRODUCT(($J$109:$J$111=1)*1),"Pendiente","En proceso"))</f>
      </c>
      <c r="F108" s="3" t="str">
        <f>SUMPRODUCT(($J$109:$J$111=1)*($E$109:$E$111="Entregado"))&amp;" de "&amp;SUMPRODUCT(($J$109:$J$111=1)*1)</f>
      </c>
      <c r="G108" s="3" t="s">
        <v>16</v>
      </c>
      <c r="H108" s="3" t="s">
        <v>16</v>
      </c>
      <c r="I108" s="5"/>
      <c r="J108" s="3">
        <v>0</v>
      </c>
    </row>
    <row r="109" spans="1:10" ht="26.4" x14ac:dyDescent="0.3">
      <c r="A109" s="6" t="s">
        <v>276</v>
      </c>
      <c r="B109" s="7" t="s">
        <v>277</v>
      </c>
      <c r="C109" s="8" t="s">
        <v>187</v>
      </c>
      <c r="D109" s="8" t="s">
        <v>275</v>
      </c>
      <c r="E109" s="6" t="inlineStr">
        <is>
          <t xml:space="preserve">Entregado</t>
        </is>
      </c>
      <c r="F109" s="9" t="n">
        <v>46307</v>
      </c>
      <c r="G109" s="6" t="inlineStr">
        <is>
          <t xml:space="preserve">Word</t>
        </is>
      </c>
      <c r="H109" s="6" t="inlineStr">
        <is>
          <t xml:space="preserve">Sí</t>
        </is>
      </c>
      <c r="I109" s="10" t="inlineStr">
        <is>
          <t xml:space="preserve">Informe Subcomisión 1.1 Implementación del Proyecto Curricular. Adaptado en: 11. Implementación del proyecto curricular.docx</t>
        </is>
      </c>
      <c r="J109" s="6">
        <v>1</v>
      </c>
    </row>
    <row r="110" spans="1:10" ht="26.4" x14ac:dyDescent="0.3">
      <c r="A110" s="6" t="s">
        <v>278</v>
      </c>
      <c r="B110" s="7" t="s">
        <v>279</v>
      </c>
      <c r="C110" s="8" t="s">
        <v>280</v>
      </c>
      <c r="D110" s="8" t="s">
        <v>281</v>
      </c>
      <c r="E110" s="6" t="inlineStr">
        <is>
          <t xml:space="preserve">Entregado</t>
        </is>
      </c>
      <c r="F110" s="9" t="n">
        <v>46307</v>
      </c>
      <c r="G110" s="6" t="inlineStr">
        <is>
          <t xml:space="preserve">Word</t>
        </is>
      </c>
      <c r="H110" s="6" t="inlineStr">
        <is>
          <t xml:space="preserve">Sí</t>
        </is>
      </c>
      <c r="I110" s="10" t="inlineStr">
        <is>
          <t xml:space="preserve">Informe Subcomisión 1.1 Implementación del Proyecto Curricular. Adaptado en: 11. Implementación del proyecto curricular.docx</t>
        </is>
      </c>
      <c r="J110" s="6">
        <v>1</v>
      </c>
    </row>
    <row r="111" spans="1:10" ht="26.4" x14ac:dyDescent="0.3">
      <c r="A111" s="6" t="s">
        <v>282</v>
      </c>
      <c r="B111" s="7" t="s">
        <v>283</v>
      </c>
      <c r="C111" s="8" t="s">
        <v>280</v>
      </c>
      <c r="D111" s="8" t="s">
        <v>281</v>
      </c>
      <c r="E111" s="6" t="inlineStr">
        <is>
          <t xml:space="preserve">Entregado</t>
        </is>
      </c>
      <c r="F111" s="9" t="n">
        <v>46307</v>
      </c>
      <c r="G111" s="6" t="inlineStr">
        <is>
          <t xml:space="preserve">Word</t>
        </is>
      </c>
      <c r="H111" s="6" t="inlineStr">
        <is>
          <t xml:space="preserve">Sí</t>
        </is>
      </c>
      <c r="I111" s="10" t="inlineStr">
        <is>
          <t xml:space="preserve">Informe Subcomisión 1.1 Implementación del Proyecto Curricular. Adaptado en: 11. Implementación del proyecto curricular.docx</t>
        </is>
      </c>
      <c r="J111" s="6">
        <v>1</v>
      </c>
    </row>
    <row r="112" spans="1:10" x14ac:dyDescent="0.3">
      <c r="A112" s="3" t="s">
        <v>284</v>
      </c>
      <c r="B112" s="4" t="s">
        <v>285</v>
      </c>
      <c r="C112" s="4" t="s">
        <v>286</v>
      </c>
      <c r="D112" s="4" t="s">
        <v>287</v>
      </c>
      <c r="E112" s="3" t="str">
        <f>IF(SUMPRODUCT(($J$113:$J$114=1)*($E$113:$E$114="Entregado"))=SUMPRODUCT(($J$113:$J$114=1)*1),"Completo",IF(SUMPRODUCT(($J$113:$J$114=1)*($E$113:$E$114="Pendiente"))=SUMPRODUCT(($J$113:$J$114=1)*1),"Pendiente","En proceso"))</f>
      </c>
      <c r="F112" s="3" t="str">
        <f>SUMPRODUCT(($J$113:$J$114=1)*($E$113:$E$114="Entregado"))&amp;" de "&amp;SUMPRODUCT(($J$113:$J$114=1)*1)</f>
      </c>
      <c r="G112" s="3" t="s">
        <v>16</v>
      </c>
      <c r="H112" s="3" t="s">
        <v>16</v>
      </c>
      <c r="I112" s="5"/>
      <c r="J112" s="3">
        <v>0</v>
      </c>
    </row>
    <row r="113" spans="1:10" x14ac:dyDescent="0.3">
      <c r="A113" s="6" t="s">
        <v>288</v>
      </c>
      <c r="B113" s="7" t="s">
        <v>289</v>
      </c>
      <c r="C113" s="8" t="s">
        <v>286</v>
      </c>
      <c r="D113" s="8" t="s">
        <v>287</v>
      </c>
      <c r="E113" s="6" t="inlineStr">
        <is>
          <t xml:space="preserve">Entregado</t>
        </is>
      </c>
      <c r="F113" s="9" t="n">
        <v>46307</v>
      </c>
      <c r="G113" s="6" t="inlineStr">
        <is>
          <t xml:space="preserve">Word</t>
        </is>
      </c>
      <c r="H113" s="6" t="inlineStr">
        <is>
          <t xml:space="preserve">Sí</t>
        </is>
      </c>
      <c r="I113" s="10" t="inlineStr">
        <is>
          <t xml:space="preserve">Documento 12 Evaluación curricular (Comisión 10). Adaptado en: 12. Evaluación curricular.docx</t>
        </is>
      </c>
      <c r="J113" s="6">
        <v>1</v>
      </c>
    </row>
    <row r="114" spans="1:10" ht="26.4" x14ac:dyDescent="0.3">
      <c r="A114" s="6" t="s">
        <v>290</v>
      </c>
      <c r="B114" s="7" t="s">
        <v>291</v>
      </c>
      <c r="C114" s="8" t="s">
        <v>74</v>
      </c>
      <c r="D114" s="8" t="s">
        <v>292</v>
      </c>
      <c r="E114" s="6" t="inlineStr">
        <is>
          <t xml:space="preserve">Entregado</t>
        </is>
      </c>
      <c r="F114" s="9" t="n">
        <v>46307</v>
      </c>
      <c r="G114" s="6" t="inlineStr">
        <is>
          <t xml:space="preserve">Word</t>
        </is>
      </c>
      <c r="H114" s="6" t="inlineStr">
        <is>
          <t xml:space="preserve">Sí</t>
        </is>
      </c>
      <c r="I114" s="10" t="inlineStr">
        <is>
          <t xml:space="preserve">Documento 12 Evaluación curricular (Comisión 10). Adaptado en: 12. Evaluación curricular.docx</t>
        </is>
      </c>
      <c r="J114" s="6">
        <v>1</v>
      </c>
    </row>
    <row r="115" spans="1:10" ht="25.2" x14ac:dyDescent="0.3">
      <c r="A115" s="3" t="s">
        <v>293</v>
      </c>
      <c r="B115" s="4" t="s">
        <v>294</v>
      </c>
      <c r="C115" s="4" t="s">
        <v>295</v>
      </c>
      <c r="D115" s="4" t="s">
        <v>296</v>
      </c>
      <c r="E115" s="3" t="str">
        <f>IF(SUMPRODUCT(($J$116:$J$117=1)*($E$116:$E$117="Entregado"))=SUMPRODUCT(($J$116:$J$117=1)*1),"Completo",IF(SUMPRODUCT(($J$116:$J$117=1)*($E$116:$E$117="Pendiente"))=SUMPRODUCT(($J$116:$J$117=1)*1),"Pendiente","En proceso"))</f>
      </c>
      <c r="F115" s="3" t="str">
        <f>SUMPRODUCT(($J$116:$J$117=1)*($E$116:$E$117="Entregado"))&amp;" de "&amp;SUMPRODUCT(($J$116:$J$117=1)*1)</f>
      </c>
      <c r="G115" s="3" t="s">
        <v>16</v>
      </c>
      <c r="H115" s="3" t="s">
        <v>16</v>
      </c>
      <c r="I115" s="5"/>
      <c r="J115" s="3">
        <v>0</v>
      </c>
    </row>
    <row r="116" spans="1:10" ht="26.4" x14ac:dyDescent="0.3">
      <c r="A116" s="6" t="s">
        <v>297</v>
      </c>
      <c r="B116" s="7" t="s">
        <v>298</v>
      </c>
      <c r="C116" s="8" t="s">
        <v>295</v>
      </c>
      <c r="D116" s="8" t="s">
        <v>296</v>
      </c>
      <c r="E116" s="6" t="s">
        <v>19</v>
      </c>
      <c r="F116" s="9"/>
      <c r="G116" s="6"/>
      <c r="H116" s="6" t="s">
        <v>20</v>
      </c>
      <c r="I116" s="10"/>
      <c r="J116" s="6">
        <v>1</v>
      </c>
    </row>
    <row r="117" spans="1:10" ht="26.4" x14ac:dyDescent="0.3">
      <c r="A117" s="6" t="s">
        <v>299</v>
      </c>
      <c r="B117" s="7" t="s">
        <v>300</v>
      </c>
      <c r="C117" s="8" t="s">
        <v>301</v>
      </c>
      <c r="D117" s="8" t="s">
        <v>302</v>
      </c>
      <c r="E117" s="6" t="s">
        <v>19</v>
      </c>
      <c r="F117" s="9"/>
      <c r="G117" s="6"/>
      <c r="H117" s="6" t="s">
        <v>20</v>
      </c>
      <c r="I117" s="10"/>
      <c r="J117" s="6">
        <v>1</v>
      </c>
    </row>
    <row r="118" spans="1:10" x14ac:dyDescent="0.3">
      <c r="A118" s="3" t="s">
        <v>303</v>
      </c>
      <c r="B118" s="4" t="s">
        <v>304</v>
      </c>
      <c r="C118" s="4" t="s">
        <v>305</v>
      </c>
      <c r="D118" s="4" t="s">
        <v>306</v>
      </c>
      <c r="E118" s="3" t="str">
        <f>IF(SUMPRODUCT(($J$119:$J$127=1)*($E$119:$E$127="Entregado"))=SUMPRODUCT(($J$119:$J$127=1)*1),"Completo",IF(SUMPRODUCT(($J$119:$J$127=1)*($E$119:$E$127="Pendiente"))=SUMPRODUCT(($J$119:$J$127=1)*1),"Pendiente","En proceso"))</f>
      </c>
      <c r="F118" s="3" t="str">
        <f>SUMPRODUCT(($J$119:$J$127=1)*($E$119:$E$127="Entregado"))&amp;" de "&amp;SUMPRODUCT(($J$119:$J$127=1)*1)</f>
      </c>
      <c r="G118" s="3" t="s">
        <v>16</v>
      </c>
      <c r="H118" s="3" t="s">
        <v>16</v>
      </c>
      <c r="I118" s="5"/>
      <c r="J118" s="3">
        <v>0</v>
      </c>
    </row>
    <row r="119" spans="1:10" x14ac:dyDescent="0.3">
      <c r="A119" s="6" t="s">
        <v>307</v>
      </c>
      <c r="B119" s="7" t="s">
        <v>308</v>
      </c>
      <c r="C119" s="8" t="s">
        <v>305</v>
      </c>
      <c r="D119" s="8" t="s">
        <v>306</v>
      </c>
      <c r="E119" s="6" t="inlineStr">
        <is>
          <t xml:space="preserve">Entregado</t>
        </is>
      </c>
      <c r="F119" s="9" t="n">
        <v>46307</v>
      </c>
      <c r="G119" s="6" t="inlineStr">
        <is>
          <t xml:space="preserve">PDF</t>
        </is>
      </c>
      <c r="H119" s="6" t="inlineStr">
        <is>
          <t xml:space="preserve">Sí</t>
        </is>
      </c>
      <c r="I119" s="10" t="inlineStr">
        <is>
          <t xml:space="preserve">Diagnóstico Rediseño Curricular Infraestructura. Adaptado en: 14. Infraestructura y equipamiento.docx</t>
        </is>
      </c>
      <c r="J119" s="6">
        <v>1</v>
      </c>
    </row>
    <row r="120" spans="1:10" x14ac:dyDescent="0.3">
      <c r="A120" s="6" t="s">
        <v>309</v>
      </c>
      <c r="B120" s="7" t="s">
        <v>310</v>
      </c>
      <c r="C120" s="8" t="s">
        <v>305</v>
      </c>
      <c r="D120" s="8" t="s">
        <v>306</v>
      </c>
      <c r="E120" s="6" t="s">
        <v>19</v>
      </c>
      <c r="F120" s="9"/>
      <c r="G120" s="6"/>
      <c r="H120" s="6" t="s">
        <v>20</v>
      </c>
      <c r="I120" s="10"/>
      <c r="J120" s="6">
        <v>1</v>
      </c>
    </row>
    <row r="121" spans="1:10" x14ac:dyDescent="0.3">
      <c r="A121" s="6" t="s">
        <v>311</v>
      </c>
      <c r="B121" s="7" t="s">
        <v>312</v>
      </c>
      <c r="C121" s="8" t="s">
        <v>305</v>
      </c>
      <c r="D121" s="8" t="s">
        <v>306</v>
      </c>
      <c r="E121" s="6" t="s">
        <v>19</v>
      </c>
      <c r="F121" s="9"/>
      <c r="G121" s="6"/>
      <c r="H121" s="6" t="s">
        <v>20</v>
      </c>
      <c r="I121" s="10"/>
      <c r="J121" s="6">
        <v>1</v>
      </c>
    </row>
    <row r="122" spans="1:10" ht="26.4" x14ac:dyDescent="0.3">
      <c r="A122" s="6" t="s">
        <v>313</v>
      </c>
      <c r="B122" s="7" t="s">
        <v>314</v>
      </c>
      <c r="C122" s="8" t="s">
        <v>305</v>
      </c>
      <c r="D122" s="8" t="s">
        <v>306</v>
      </c>
      <c r="E122" s="6" t="inlineStr">
        <is>
          <t xml:space="preserve">Entregado</t>
        </is>
      </c>
      <c r="F122" s="9" t="n">
        <v>46307</v>
      </c>
      <c r="G122" s="6" t="inlineStr">
        <is>
          <t xml:space="preserve">PDF</t>
        </is>
      </c>
      <c r="H122" s="6" t="inlineStr">
        <is>
          <t xml:space="preserve">Sí</t>
        </is>
      </c>
      <c r="I122" s="10" t="inlineStr">
        <is>
          <t xml:space="preserve">Diagnóstico Rediseño Curricular Infraestructura. Adaptado en: 14. Infraestructura y equipamiento.docx</t>
        </is>
      </c>
      <c r="J122" s="6">
        <v>1</v>
      </c>
    </row>
    <row r="123" spans="1:10" ht="26.4" x14ac:dyDescent="0.3">
      <c r="A123" s="6" t="s">
        <v>315</v>
      </c>
      <c r="B123" s="7" t="s">
        <v>316</v>
      </c>
      <c r="C123" s="8" t="s">
        <v>305</v>
      </c>
      <c r="D123" s="8" t="s">
        <v>306</v>
      </c>
      <c r="E123" s="6" t="inlineStr">
        <is>
          <t xml:space="preserve">Entregado</t>
        </is>
      </c>
      <c r="F123" s="9" t="n">
        <v>46307</v>
      </c>
      <c r="G123" s="6" t="inlineStr">
        <is>
          <t xml:space="preserve">PDF</t>
        </is>
      </c>
      <c r="H123" s="6" t="inlineStr">
        <is>
          <t xml:space="preserve">Sí</t>
        </is>
      </c>
      <c r="I123" s="10" t="inlineStr">
        <is>
          <t xml:space="preserve">Diagnóstico Rediseño Curricular Infraestructura. Adaptado en: 14. Infraestructura y equipamiento.docx</t>
        </is>
      </c>
      <c r="J123" s="6">
        <v>1</v>
      </c>
    </row>
    <row r="124" spans="1:10" ht="26.4" x14ac:dyDescent="0.3">
      <c r="A124" s="6" t="s">
        <v>317</v>
      </c>
      <c r="B124" s="7" t="s">
        <v>318</v>
      </c>
      <c r="C124" s="8" t="s">
        <v>319</v>
      </c>
      <c r="D124" s="8" t="s">
        <v>320</v>
      </c>
      <c r="E124" s="6" t="inlineStr">
        <is>
          <t xml:space="preserve">Entregado</t>
        </is>
      </c>
      <c r="F124" s="9" t="n">
        <v>46307</v>
      </c>
      <c r="G124" s="6" t="inlineStr">
        <is>
          <t xml:space="preserve">PDF</t>
        </is>
      </c>
      <c r="H124" s="6" t="inlineStr">
        <is>
          <t xml:space="preserve">Sí</t>
        </is>
      </c>
      <c r="I124" s="10" t="inlineStr">
        <is>
          <t xml:space="preserve">Diagnóstico Rediseño Curricular Infraestructura. Adaptado en: 14. Infraestructura y equipamiento.docx</t>
        </is>
      </c>
      <c r="J124" s="6">
        <v>1</v>
      </c>
    </row>
    <row r="125" spans="1:10" ht="26.4" x14ac:dyDescent="0.3">
      <c r="A125" s="6" t="s">
        <v>321</v>
      </c>
      <c r="B125" s="7" t="s">
        <v>322</v>
      </c>
      <c r="C125" s="8" t="s">
        <v>319</v>
      </c>
      <c r="D125" s="8" t="s">
        <v>320</v>
      </c>
      <c r="E125" s="6" t="s">
        <v>19</v>
      </c>
      <c r="F125" s="9"/>
      <c r="G125" s="6"/>
      <c r="H125" s="6" t="s">
        <v>20</v>
      </c>
      <c r="I125" s="10"/>
      <c r="J125" s="6">
        <v>1</v>
      </c>
    </row>
    <row r="126" spans="1:10" ht="26.4" x14ac:dyDescent="0.3">
      <c r="A126" s="6" t="s">
        <v>323</v>
      </c>
      <c r="B126" s="7" t="s">
        <v>324</v>
      </c>
      <c r="C126" s="8" t="s">
        <v>319</v>
      </c>
      <c r="D126" s="8" t="s">
        <v>320</v>
      </c>
      <c r="E126" s="6" t="s">
        <v>19</v>
      </c>
      <c r="F126" s="9"/>
      <c r="G126" s="6"/>
      <c r="H126" s="6" t="s">
        <v>20</v>
      </c>
      <c r="I126" s="10"/>
      <c r="J126" s="6">
        <v>1</v>
      </c>
    </row>
    <row r="127" spans="1:10" ht="26.4" x14ac:dyDescent="0.3">
      <c r="A127" s="6" t="s">
        <v>325</v>
      </c>
      <c r="B127" s="7" t="s">
        <v>251</v>
      </c>
      <c r="C127" s="8" t="s">
        <v>319</v>
      </c>
      <c r="D127" s="8" t="s">
        <v>320</v>
      </c>
      <c r="E127" s="6" t="inlineStr">
        <is>
          <t xml:space="preserve">Entregado</t>
        </is>
      </c>
      <c r="F127" s="9" t="n">
        <v>46307</v>
      </c>
      <c r="G127" s="6" t="inlineStr">
        <is>
          <t xml:space="preserve">PDF</t>
        </is>
      </c>
      <c r="H127" s="6" t="inlineStr">
        <is>
          <t xml:space="preserve">Sí</t>
        </is>
      </c>
      <c r="I127" s="10" t="inlineStr">
        <is>
          <t xml:space="preserve">Diagnóstico Rediseño Curricular Infraestructura. Adaptado en: 14. Infraestructura y equipamiento.docx</t>
        </is>
      </c>
      <c r="J127" s="6">
        <v>1</v>
      </c>
    </row>
    <row r="128" spans="1:10" ht="25.2" x14ac:dyDescent="0.3">
      <c r="A128" s="3" t="s">
        <v>326</v>
      </c>
      <c r="B128" s="4" t="s">
        <v>327</v>
      </c>
      <c r="C128" s="4" t="s">
        <v>328</v>
      </c>
      <c r="D128" s="4" t="s">
        <v>329</v>
      </c>
      <c r="E128" s="3" t="str">
        <f>IF(SUMPRODUCT(($J$129:$J$133=1)*($E$129:$E$133="Entregado"))=SUMPRODUCT(($J$129:$J$133=1)*1),"Completo",IF(SUMPRODUCT(($J$129:$J$133=1)*($E$129:$E$133="Pendiente"))=SUMPRODUCT(($J$129:$J$133=1)*1),"Pendiente","En proceso"))</f>
      </c>
      <c r="F128" s="3" t="str">
        <f>SUMPRODUCT(($J$129:$J$133=1)*($E$129:$E$133="Entregado"))&amp;" de "&amp;SUMPRODUCT(($J$129:$J$133=1)*1)</f>
      </c>
      <c r="G128" s="3" t="s">
        <v>16</v>
      </c>
      <c r="H128" s="3" t="s">
        <v>16</v>
      </c>
      <c r="I128" s="5"/>
      <c r="J128" s="3">
        <v>0</v>
      </c>
    </row>
    <row r="129" spans="1:10" ht="26.4" x14ac:dyDescent="0.3">
      <c r="A129" s="6" t="s">
        <v>330</v>
      </c>
      <c r="B129" s="7" t="s">
        <v>331</v>
      </c>
      <c r="C129" s="8" t="s">
        <v>328</v>
      </c>
      <c r="D129" s="8" t="s">
        <v>329</v>
      </c>
      <c r="E129" s="6" t="s">
        <v>19</v>
      </c>
      <c r="F129" s="9"/>
      <c r="G129" s="6"/>
      <c r="H129" s="6" t="s">
        <v>20</v>
      </c>
      <c r="I129" s="10"/>
      <c r="J129" s="6">
        <v>1</v>
      </c>
    </row>
    <row r="130" spans="1:10" ht="26.4" x14ac:dyDescent="0.3">
      <c r="A130" s="6" t="s">
        <v>332</v>
      </c>
      <c r="B130" s="7" t="s">
        <v>333</v>
      </c>
      <c r="C130" s="8" t="s">
        <v>328</v>
      </c>
      <c r="D130" s="8" t="s">
        <v>329</v>
      </c>
      <c r="E130" s="6" t="s">
        <v>19</v>
      </c>
      <c r="F130" s="9"/>
      <c r="G130" s="6"/>
      <c r="H130" s="6" t="s">
        <v>20</v>
      </c>
      <c r="I130" s="10"/>
      <c r="J130" s="6">
        <v>1</v>
      </c>
    </row>
    <row r="131" spans="1:10" ht="26.4" x14ac:dyDescent="0.3">
      <c r="A131" s="6" t="s">
        <v>334</v>
      </c>
      <c r="B131" s="7" t="s">
        <v>335</v>
      </c>
      <c r="C131" s="8" t="s">
        <v>336</v>
      </c>
      <c r="D131" s="8" t="s">
        <v>337</v>
      </c>
      <c r="E131" s="6" t="s">
        <v>19</v>
      </c>
      <c r="F131" s="9"/>
      <c r="G131" s="6"/>
      <c r="H131" s="6" t="s">
        <v>20</v>
      </c>
      <c r="I131" s="10"/>
      <c r="J131" s="6">
        <v>1</v>
      </c>
    </row>
    <row r="132" spans="1:10" ht="26.4" x14ac:dyDescent="0.3">
      <c r="A132" s="6" t="s">
        <v>338</v>
      </c>
      <c r="B132" s="7" t="s">
        <v>339</v>
      </c>
      <c r="C132" s="8" t="s">
        <v>336</v>
      </c>
      <c r="D132" s="8" t="s">
        <v>337</v>
      </c>
      <c r="E132" s="6" t="s">
        <v>19</v>
      </c>
      <c r="F132" s="9"/>
      <c r="G132" s="6"/>
      <c r="H132" s="6" t="s">
        <v>20</v>
      </c>
      <c r="I132" s="10"/>
      <c r="J132" s="6">
        <v>1</v>
      </c>
    </row>
    <row r="133" spans="1:10" ht="26.4" x14ac:dyDescent="0.3">
      <c r="A133" s="6" t="s">
        <v>340</v>
      </c>
      <c r="B133" s="7" t="s">
        <v>341</v>
      </c>
      <c r="C133" s="8" t="s">
        <v>336</v>
      </c>
      <c r="D133" s="8" t="s">
        <v>337</v>
      </c>
      <c r="E133" s="6" t="s">
        <v>19</v>
      </c>
      <c r="F133" s="9"/>
      <c r="G133" s="6"/>
      <c r="H133" s="6" t="s">
        <v>20</v>
      </c>
      <c r="I133" s="10"/>
      <c r="J133" s="6">
        <v>1</v>
      </c>
    </row>
    <row r="134" spans="1:10" ht="25.2" x14ac:dyDescent="0.3">
      <c r="A134" s="3" t="s">
        <v>342</v>
      </c>
      <c r="B134" s="4" t="s">
        <v>343</v>
      </c>
      <c r="C134" s="4" t="s">
        <v>14</v>
      </c>
      <c r="D134" s="4" t="s">
        <v>344</v>
      </c>
      <c r="E134" s="3" t="str">
        <f>IF(SUMPRODUCT(($J$135:$J$137=1)*($E$135:$E$137="Entregado"))=SUMPRODUCT(($J$135:$J$137=1)*1),"Completo",IF(SUMPRODUCT(($J$135:$J$137=1)*($E$135:$E$137="Pendiente"))=SUMPRODUCT(($J$135:$J$137=1)*1),"Pendiente","En proceso"))</f>
      </c>
      <c r="F134" s="3" t="str">
        <f>SUMPRODUCT(($J$135:$J$137=1)*($E$135:$E$137="Entregado"))&amp;" de "&amp;SUMPRODUCT(($J$135:$J$137=1)*1)</f>
      </c>
      <c r="G134" s="3" t="s">
        <v>16</v>
      </c>
      <c r="H134" s="3" t="s">
        <v>16</v>
      </c>
      <c r="I134" s="5"/>
      <c r="J134" s="3">
        <v>0</v>
      </c>
    </row>
    <row r="135" spans="1:10" ht="26.4" x14ac:dyDescent="0.3">
      <c r="A135" s="6" t="s">
        <v>345</v>
      </c>
      <c r="B135" s="7" t="s">
        <v>346</v>
      </c>
      <c r="C135" s="8" t="s">
        <v>14</v>
      </c>
      <c r="D135" s="8" t="s">
        <v>344</v>
      </c>
      <c r="E135" s="6" t="s">
        <v>19</v>
      </c>
      <c r="F135" s="9"/>
      <c r="G135" s="6"/>
      <c r="H135" s="6" t="s">
        <v>20</v>
      </c>
      <c r="I135" s="10"/>
      <c r="J135" s="6">
        <v>1</v>
      </c>
    </row>
    <row r="136" spans="1:10" x14ac:dyDescent="0.3">
      <c r="A136" s="6" t="s">
        <v>347</v>
      </c>
      <c r="B136" s="7" t="s">
        <v>348</v>
      </c>
      <c r="C136" s="8" t="s">
        <v>349</v>
      </c>
      <c r="D136" s="8" t="s">
        <v>350</v>
      </c>
      <c r="E136" s="6" t="s">
        <v>19</v>
      </c>
      <c r="F136" s="9"/>
      <c r="G136" s="6"/>
      <c r="H136" s="6" t="s">
        <v>20</v>
      </c>
      <c r="I136" s="10"/>
      <c r="J136" s="6">
        <v>1</v>
      </c>
    </row>
    <row r="137" spans="1:10" x14ac:dyDescent="0.3">
      <c r="A137" s="6" t="s">
        <v>351</v>
      </c>
      <c r="B137" s="7" t="s">
        <v>352</v>
      </c>
      <c r="C137" s="8" t="s">
        <v>349</v>
      </c>
      <c r="D137" s="8" t="s">
        <v>350</v>
      </c>
      <c r="E137" s="6" t="s">
        <v>19</v>
      </c>
      <c r="F137" s="9"/>
      <c r="G137" s="6"/>
      <c r="H137" s="6" t="s">
        <v>20</v>
      </c>
      <c r="I137" s="10"/>
      <c r="J137" s="6">
        <v>1</v>
      </c>
    </row>
  </sheetData>
  <autoFilter ref="A4:I137" xr:uid="{00000000-0009-0000-0000-000000000000}"/>
  <conditionalFormatting sqref="E5:E137">
    <cfRule type="expression" dxfId="5" priority="1">
      <formula>E5="Entregado"</formula>
    </cfRule>
    <cfRule type="expression" dxfId="4" priority="2">
      <formula>E5="Completo"</formula>
    </cfRule>
    <cfRule type="expression" dxfId="3" priority="3">
      <formula>E5="Parcial"</formula>
    </cfRule>
    <cfRule type="expression" dxfId="2" priority="4">
      <formula>E5="En proceso"</formula>
    </cfRule>
    <cfRule type="expression" dxfId="1" priority="5">
      <formula>E5="Observado"</formula>
    </cfRule>
  </conditionalFormatting>
  <conditionalFormatting sqref="H5:H137">
    <cfRule type="expression" dxfId="0" priority="6">
      <formula>H5="Sí"</formula>
    </cfRule>
  </conditionalFormatting>
  <dataValidations count="4">
    <dataValidation type="list" showErrorMessage="1" errorTitle="Estado" error="Elija un estado de la lista." sqref="E6:E18 E135:E137 E28:E32 E35:E39 E20:E26 E49:E53 E55:E58 E60:E71 E73:E76 E78:E79 E81:E82 E84:E89 E91:E94 E96:E107 E109:E111 E113:E114 E116:E117 E119:E127 E129:E133 E41:E47" xr:uid="{00000000-0002-0000-0000-000000000000}">
      <formula1>"Pendiente,Entregado,Parcial,Observado"</formula1>
    </dataValidation>
    <dataValidation type="list" allowBlank="1" sqref="G6:G18 G20:G26 G28:G32 G35:G39 G135:G137 G49:G53 G55:G58 G60:G71 G73:G76 G78:G79 G81:G82 G84:G89 G91:G94 G96:G107 G109:G111 G113:G114 G116:G117 G119:G127 G129:G133 G41:G47" xr:uid="{00000000-0002-0000-0000-000001000000}">
      <formula1>"Word,PDF,Excel,PowerPoint,Otro"</formula1>
    </dataValidation>
    <dataValidation type="list" sqref="H6:H18 H135:H137 H28:H32 H35:H39 H20:H26 H49:H53 H55:H58 H60:H71 H73:H76 H78:H79 H81:H82 H84:H89 H91:H94 H96:H107 H109:H111 H113:H114 H116:H117 H119:H127 H129:H133 H41:H47" xr:uid="{00000000-0002-0000-0000-000002000000}">
      <formula1>"Sí,No"</formula1>
    </dataValidation>
    <dataValidation type="date" operator="greaterThan" allowBlank="1" showErrorMessage="1" errorTitle="Fecha" error="Ingrese una fecha válida (dd/mm/aaaa)." sqref="F6:F18 F20:F26 F28:F32 F35:F39 F135:F137 F49:F53 F55:F58 F60:F71 F73:F76 F78:F79 F81:F82 F84:F89 F91:F94 F96:F107 F109:F111 F113:F114 F116:F117 F119:F127 F129:F133 F41:F47" xr:uid="{00000000-0002-0000-0000-000003000000}">
      <formula1>45658</formula1>
    </dataValidation>
  </dataValidations>
  <printOptions horizontalCentered="1"/>
  <pageMargins left="0.4" right="0.4" top="0.5" bottom="0.5" header="0.5" footer="0.5"/>
  <pageSetup fitToHeight="0" orientation="landscape"/>
  <headerFooter>
    <oddFooter>&amp;R&amp;"Century Gothic"Página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50" customWidth="1"/>
    <col min="3" max="3" width="9" customWidth="1"/>
    <col min="4" max="4" width="12" customWidth="1"/>
    <col min="5" max="5" width="11" customWidth="1"/>
    <col min="6" max="7" width="12" customWidth="1"/>
    <col min="8" max="8" width="11" customWidth="1"/>
  </cols>
  <sheetData>
    <row r="1" spans="1:8" ht="17.399999999999999" x14ac:dyDescent="0.3">
      <c r="A1" s="1" t="s">
        <v>353</v>
      </c>
    </row>
    <row r="2" spans="1:8" x14ac:dyDescent="0.3">
      <c r="A2" s="2" t="s">
        <v>354</v>
      </c>
    </row>
    <row r="4" spans="1:8" ht="25.2" x14ac:dyDescent="0.3">
      <c r="A4" s="3" t="s">
        <v>355</v>
      </c>
      <c r="B4" s="3" t="s">
        <v>356</v>
      </c>
      <c r="C4" s="3" t="s">
        <v>357</v>
      </c>
      <c r="D4" s="3" t="s">
        <v>358</v>
      </c>
      <c r="E4" s="3" t="s">
        <v>359</v>
      </c>
      <c r="F4" s="3" t="s">
        <v>360</v>
      </c>
      <c r="G4" s="3" t="s">
        <v>361</v>
      </c>
      <c r="H4" s="3" t="s">
        <v>362</v>
      </c>
    </row>
    <row r="5" spans="1:8" x14ac:dyDescent="0.3">
      <c r="A5" s="6">
        <v>1</v>
      </c>
      <c r="B5" s="8" t="s">
        <v>13</v>
      </c>
      <c r="C5" s="6">
        <f>COUNTIFS(Checklist!$A$5:$A$137,"1.*",Checklist!$J$5:$J$137,1)</f>
      </c>
      <c r="D5" s="6">
        <f>COUNTIFS(Checklist!$A$5:$A$137,"1.*",Checklist!$J$5:$J$137,1,Checklist!$E$5:$E$137,"Entregado")</f>
      </c>
      <c r="E5" s="6">
        <f>COUNTIFS(Checklist!$A$5:$A$137,"1.*",Checklist!$J$5:$J$137,1,Checklist!$E$5:$E$137,"Parcial")</f>
      </c>
      <c r="F5" s="6">
        <f>COUNTIFS(Checklist!$A$5:$A$137,"1.*",Checklist!$J$5:$J$137,1,Checklist!$E$5:$E$137,"Observado")</f>
      </c>
      <c r="G5" s="6">
        <f>COUNTIFS(Checklist!$A$5:$A$137,"1.*",Checklist!$J$5:$J$137,1,Checklist!$E$5:$E$137,"Pendiente")</f>
      </c>
      <c r="H5" s="20">
        <f t="shared" ref="H5:H21" si="0">IF(C5=0,0,D5/C5)</f>
      </c>
    </row>
    <row r="6" spans="1:8" x14ac:dyDescent="0.3">
      <c r="A6" s="6">
        <v>2</v>
      </c>
      <c r="B6" s="8" t="s">
        <v>46</v>
      </c>
      <c r="C6" s="6">
        <f>COUNTIFS(Checklist!$A$5:$A$137,"2.*",Checklist!$J$5:$J$137,1)</f>
      </c>
      <c r="D6" s="6">
        <f>COUNTIFS(Checklist!$A$5:$A$137,"2.*",Checklist!$J$5:$J$137,1,Checklist!$E$5:$E$137,"Entregado")</f>
      </c>
      <c r="E6" s="6">
        <f>COUNTIFS(Checklist!$A$5:$A$137,"2.*",Checklist!$J$5:$J$137,1,Checklist!$E$5:$E$137,"Parcial")</f>
      </c>
      <c r="F6" s="6">
        <f>COUNTIFS(Checklist!$A$5:$A$137,"2.*",Checklist!$J$5:$J$137,1,Checklist!$E$5:$E$137,"Observado")</f>
      </c>
      <c r="G6" s="6">
        <f>COUNTIFS(Checklist!$A$5:$A$137,"2.*",Checklist!$J$5:$J$137,1,Checklist!$E$5:$E$137,"Pendiente")</f>
      </c>
      <c r="H6" s="20">
        <f t="shared" si="0"/>
      </c>
    </row>
    <row r="7" spans="1:8" ht="26.4" x14ac:dyDescent="0.3">
      <c r="A7" s="6">
        <v>3</v>
      </c>
      <c r="B7" s="8" t="s">
        <v>63</v>
      </c>
      <c r="C7" s="6">
        <f>COUNTIFS(Checklist!$A$5:$A$137,"3.*",Checklist!$J$5:$J$137,1)</f>
      </c>
      <c r="D7" s="6">
        <f>COUNTIFS(Checklist!$A$5:$A$137,"3.*",Checklist!$J$5:$J$137,1,Checklist!$E$5:$E$137,"Entregado")</f>
      </c>
      <c r="E7" s="6">
        <f>COUNTIFS(Checklist!$A$5:$A$137,"3.*",Checklist!$J$5:$J$137,1,Checklist!$E$5:$E$137,"Parcial")</f>
      </c>
      <c r="F7" s="6">
        <f>COUNTIFS(Checklist!$A$5:$A$137,"3.*",Checklist!$J$5:$J$137,1,Checklist!$E$5:$E$137,"Observado")</f>
      </c>
      <c r="G7" s="6">
        <f>COUNTIFS(Checklist!$A$5:$A$137,"3.*",Checklist!$J$5:$J$137,1,Checklist!$E$5:$E$137,"Pendiente")</f>
      </c>
      <c r="H7" s="20">
        <f t="shared" si="0"/>
      </c>
    </row>
    <row r="8" spans="1:8" x14ac:dyDescent="0.3">
      <c r="A8" s="6">
        <v>4</v>
      </c>
      <c r="B8" s="8" t="s">
        <v>79</v>
      </c>
      <c r="C8" s="6">
        <f>COUNTIFS(Checklist!$A$5:$A$137,"4.*",Checklist!$J$5:$J$137,1)</f>
      </c>
      <c r="D8" s="6">
        <f>COUNTIFS(Checklist!$A$5:$A$137,"4.*",Checklist!$J$5:$J$137,1,Checklist!$E$5:$E$137,"Entregado")</f>
      </c>
      <c r="E8" s="6">
        <f>COUNTIFS(Checklist!$A$5:$A$137,"4.*",Checklist!$J$5:$J$137,1,Checklist!$E$5:$E$137,"Parcial")</f>
      </c>
      <c r="F8" s="6">
        <f>COUNTIFS(Checklist!$A$5:$A$137,"4.*",Checklist!$J$5:$J$137,1,Checklist!$E$5:$E$137,"Observado")</f>
      </c>
      <c r="G8" s="6">
        <f>COUNTIFS(Checklist!$A$5:$A$137,"4.*",Checklist!$J$5:$J$137,1,Checklist!$E$5:$E$137,"Pendiente")</f>
      </c>
      <c r="H8" s="20">
        <f t="shared" si="0"/>
      </c>
    </row>
    <row r="9" spans="1:8" x14ac:dyDescent="0.3">
      <c r="A9" s="6">
        <v>5</v>
      </c>
      <c r="B9" s="8" t="s">
        <v>186</v>
      </c>
      <c r="C9" s="6">
        <f>COUNTIFS(Checklist!$A$5:$A$137,"5.*",Checklist!$J$5:$J$137,1)</f>
      </c>
      <c r="D9" s="6">
        <f>COUNTIFS(Checklist!$A$5:$A$137,"5.*",Checklist!$J$5:$J$137,1,Checklist!$E$5:$E$137,"Entregado")</f>
      </c>
      <c r="E9" s="6">
        <f>COUNTIFS(Checklist!$A$5:$A$137,"5.*",Checklist!$J$5:$J$137,1,Checklist!$E$5:$E$137,"Parcial")</f>
      </c>
      <c r="F9" s="6">
        <f>COUNTIFS(Checklist!$A$5:$A$137,"5.*",Checklist!$J$5:$J$137,1,Checklist!$E$5:$E$137,"Observado")</f>
      </c>
      <c r="G9" s="6">
        <f>COUNTIFS(Checklist!$A$5:$A$137,"5.*",Checklist!$J$5:$J$137,1,Checklist!$E$5:$E$137,"Pendiente")</f>
      </c>
      <c r="H9" s="20">
        <f t="shared" si="0"/>
      </c>
    </row>
    <row r="10" spans="1:8" ht="39.6" x14ac:dyDescent="0.3">
      <c r="A10" s="6">
        <v>6</v>
      </c>
      <c r="B10" s="8" t="s">
        <v>200</v>
      </c>
      <c r="C10" s="6">
        <f>COUNTIFS(Checklist!$A$5:$A$137,"6.*",Checklist!$J$5:$J$137,1)</f>
      </c>
      <c r="D10" s="6">
        <f>COUNTIFS(Checklist!$A$5:$A$137,"6.*",Checklist!$J$5:$J$137,1,Checklist!$E$5:$E$137,"Entregado")</f>
      </c>
      <c r="E10" s="6">
        <f>COUNTIFS(Checklist!$A$5:$A$137,"6.*",Checklist!$J$5:$J$137,1,Checklist!$E$5:$E$137,"Parcial")</f>
      </c>
      <c r="F10" s="6">
        <f>COUNTIFS(Checklist!$A$5:$A$137,"6.*",Checklist!$J$5:$J$137,1,Checklist!$E$5:$E$137,"Observado")</f>
      </c>
      <c r="G10" s="6">
        <f>COUNTIFS(Checklist!$A$5:$A$137,"6.*",Checklist!$J$5:$J$137,1,Checklist!$E$5:$E$137,"Pendiente")</f>
      </c>
      <c r="H10" s="20">
        <f t="shared" si="0"/>
      </c>
    </row>
    <row r="11" spans="1:8" x14ac:dyDescent="0.3">
      <c r="A11" s="6">
        <v>7</v>
      </c>
      <c r="B11" s="8" t="s">
        <v>207</v>
      </c>
      <c r="C11" s="6">
        <f>COUNTIFS(Checklist!$A$5:$A$137,"7.*",Checklist!$J$5:$J$137,1)</f>
      </c>
      <c r="D11" s="6">
        <f>COUNTIFS(Checklist!$A$5:$A$137,"7.*",Checklist!$J$5:$J$137,1,Checklist!$E$5:$E$137,"Entregado")</f>
      </c>
      <c r="E11" s="6">
        <f>COUNTIFS(Checklist!$A$5:$A$137,"7.*",Checklist!$J$5:$J$137,1,Checklist!$E$5:$E$137,"Parcial")</f>
      </c>
      <c r="F11" s="6">
        <f>COUNTIFS(Checklist!$A$5:$A$137,"7.*",Checklist!$J$5:$J$137,1,Checklist!$E$5:$E$137,"Observado")</f>
      </c>
      <c r="G11" s="6">
        <f>COUNTIFS(Checklist!$A$5:$A$137,"7.*",Checklist!$J$5:$J$137,1,Checklist!$E$5:$E$137,"Pendiente")</f>
      </c>
      <c r="H11" s="20">
        <f t="shared" si="0"/>
      </c>
    </row>
    <row r="12" spans="1:8" x14ac:dyDescent="0.3">
      <c r="A12" s="6">
        <v>8</v>
      </c>
      <c r="B12" s="8" t="s">
        <v>215</v>
      </c>
      <c r="C12" s="6">
        <f>COUNTIFS(Checklist!$A$5:$A$137,"8.*",Checklist!$J$5:$J$137,1)</f>
      </c>
      <c r="D12" s="6">
        <f>COUNTIFS(Checklist!$A$5:$A$137,"8.*",Checklist!$J$5:$J$137,1,Checklist!$E$5:$E$137,"Entregado")</f>
      </c>
      <c r="E12" s="6">
        <f>COUNTIFS(Checklist!$A$5:$A$137,"8.*",Checklist!$J$5:$J$137,1,Checklist!$E$5:$E$137,"Parcial")</f>
      </c>
      <c r="F12" s="6">
        <f>COUNTIFS(Checklist!$A$5:$A$137,"8.*",Checklist!$J$5:$J$137,1,Checklist!$E$5:$E$137,"Observado")</f>
      </c>
      <c r="G12" s="6">
        <f>COUNTIFS(Checklist!$A$5:$A$137,"8.*",Checklist!$J$5:$J$137,1,Checklist!$E$5:$E$137,"Pendiente")</f>
      </c>
      <c r="H12" s="20">
        <f t="shared" si="0"/>
      </c>
    </row>
    <row r="13" spans="1:8" x14ac:dyDescent="0.3">
      <c r="A13" s="6">
        <v>9</v>
      </c>
      <c r="B13" s="8" t="s">
        <v>229</v>
      </c>
      <c r="C13" s="6">
        <f>COUNTIFS(Checklist!$A$5:$A$137,"9.*",Checklist!$J$5:$J$137,1)</f>
      </c>
      <c r="D13" s="6">
        <f>COUNTIFS(Checklist!$A$5:$A$137,"9.*",Checklist!$J$5:$J$137,1,Checklist!$E$5:$E$137,"Entregado")</f>
      </c>
      <c r="E13" s="6">
        <f>COUNTIFS(Checklist!$A$5:$A$137,"9.*",Checklist!$J$5:$J$137,1,Checklist!$E$5:$E$137,"Parcial")</f>
      </c>
      <c r="F13" s="6">
        <f>COUNTIFS(Checklist!$A$5:$A$137,"9.*",Checklist!$J$5:$J$137,1,Checklist!$E$5:$E$137,"Observado")</f>
      </c>
      <c r="G13" s="6">
        <f>COUNTIFS(Checklist!$A$5:$A$137,"9.*",Checklist!$J$5:$J$137,1,Checklist!$E$5:$E$137,"Pendiente")</f>
      </c>
      <c r="H13" s="20">
        <f t="shared" si="0"/>
      </c>
    </row>
    <row r="14" spans="1:8" x14ac:dyDescent="0.3">
      <c r="A14" s="6">
        <v>10</v>
      </c>
      <c r="B14" s="8" t="s">
        <v>243</v>
      </c>
      <c r="C14" s="6">
        <f>COUNTIFS(Checklist!$A$5:$A$137,"10.*",Checklist!$J$5:$J$137,1)</f>
      </c>
      <c r="D14" s="6">
        <f>COUNTIFS(Checklist!$A$5:$A$137,"10.*",Checklist!$J$5:$J$137,1,Checklist!$E$5:$E$137,"Entregado")</f>
      </c>
      <c r="E14" s="6">
        <f>COUNTIFS(Checklist!$A$5:$A$137,"10.*",Checklist!$J$5:$J$137,1,Checklist!$E$5:$E$137,"Parcial")</f>
      </c>
      <c r="F14" s="6">
        <f>COUNTIFS(Checklist!$A$5:$A$137,"10.*",Checklist!$J$5:$J$137,1,Checklist!$E$5:$E$137,"Observado")</f>
      </c>
      <c r="G14" s="6">
        <f>COUNTIFS(Checklist!$A$5:$A$137,"10.*",Checklist!$J$5:$J$137,1,Checklist!$E$5:$E$137,"Pendiente")</f>
      </c>
      <c r="H14" s="20">
        <f t="shared" si="0"/>
      </c>
    </row>
    <row r="15" spans="1:8" x14ac:dyDescent="0.3">
      <c r="A15" s="6">
        <v>11</v>
      </c>
      <c r="B15" s="8" t="s">
        <v>274</v>
      </c>
      <c r="C15" s="6">
        <f>COUNTIFS(Checklist!$A$5:$A$137,"11.*",Checklist!$J$5:$J$137,1)</f>
      </c>
      <c r="D15" s="6">
        <f>COUNTIFS(Checklist!$A$5:$A$137,"11.*",Checklist!$J$5:$J$137,1,Checklist!$E$5:$E$137,"Entregado")</f>
      </c>
      <c r="E15" s="6">
        <f>COUNTIFS(Checklist!$A$5:$A$137,"11.*",Checklist!$J$5:$J$137,1,Checklist!$E$5:$E$137,"Parcial")</f>
      </c>
      <c r="F15" s="6">
        <f>COUNTIFS(Checklist!$A$5:$A$137,"11.*",Checklist!$J$5:$J$137,1,Checklist!$E$5:$E$137,"Observado")</f>
      </c>
      <c r="G15" s="6">
        <f>COUNTIFS(Checklist!$A$5:$A$137,"11.*",Checklist!$J$5:$J$137,1,Checklist!$E$5:$E$137,"Pendiente")</f>
      </c>
      <c r="H15" s="20">
        <f t="shared" si="0"/>
      </c>
    </row>
    <row r="16" spans="1:8" x14ac:dyDescent="0.3">
      <c r="A16" s="6">
        <v>12</v>
      </c>
      <c r="B16" s="8" t="s">
        <v>285</v>
      </c>
      <c r="C16" s="6">
        <f>COUNTIFS(Checklist!$A$5:$A$137,"12.*",Checklist!$J$5:$J$137,1)</f>
      </c>
      <c r="D16" s="6">
        <f>COUNTIFS(Checklist!$A$5:$A$137,"12.*",Checklist!$J$5:$J$137,1,Checklist!$E$5:$E$137,"Entregado")</f>
      </c>
      <c r="E16" s="6">
        <f>COUNTIFS(Checklist!$A$5:$A$137,"12.*",Checklist!$J$5:$J$137,1,Checklist!$E$5:$E$137,"Parcial")</f>
      </c>
      <c r="F16" s="6">
        <f>COUNTIFS(Checklist!$A$5:$A$137,"12.*",Checklist!$J$5:$J$137,1,Checklist!$E$5:$E$137,"Observado")</f>
      </c>
      <c r="G16" s="6">
        <f>COUNTIFS(Checklist!$A$5:$A$137,"12.*",Checklist!$J$5:$J$137,1,Checklist!$E$5:$E$137,"Pendiente")</f>
      </c>
      <c r="H16" s="20">
        <f t="shared" si="0"/>
      </c>
    </row>
    <row r="17" spans="1:8" x14ac:dyDescent="0.3">
      <c r="A17" s="6">
        <v>13</v>
      </c>
      <c r="B17" s="8" t="s">
        <v>294</v>
      </c>
      <c r="C17" s="6">
        <f>COUNTIFS(Checklist!$A$5:$A$137,"13.*",Checklist!$J$5:$J$137,1)</f>
      </c>
      <c r="D17" s="6">
        <f>COUNTIFS(Checklist!$A$5:$A$137,"13.*",Checklist!$J$5:$J$137,1,Checklist!$E$5:$E$137,"Entregado")</f>
      </c>
      <c r="E17" s="6">
        <f>COUNTIFS(Checklist!$A$5:$A$137,"13.*",Checklist!$J$5:$J$137,1,Checklist!$E$5:$E$137,"Parcial")</f>
      </c>
      <c r="F17" s="6">
        <f>COUNTIFS(Checklist!$A$5:$A$137,"13.*",Checklist!$J$5:$J$137,1,Checklist!$E$5:$E$137,"Observado")</f>
      </c>
      <c r="G17" s="6">
        <f>COUNTIFS(Checklist!$A$5:$A$137,"13.*",Checklist!$J$5:$J$137,1,Checklist!$E$5:$E$137,"Pendiente")</f>
      </c>
      <c r="H17" s="20">
        <f t="shared" si="0"/>
      </c>
    </row>
    <row r="18" spans="1:8" x14ac:dyDescent="0.3">
      <c r="A18" s="6">
        <v>14</v>
      </c>
      <c r="B18" s="8" t="s">
        <v>304</v>
      </c>
      <c r="C18" s="6">
        <f>COUNTIFS(Checklist!$A$5:$A$137,"14.*",Checklist!$J$5:$J$137,1)</f>
      </c>
      <c r="D18" s="6">
        <f>COUNTIFS(Checklist!$A$5:$A$137,"14.*",Checklist!$J$5:$J$137,1,Checklist!$E$5:$E$137,"Entregado")</f>
      </c>
      <c r="E18" s="6">
        <f>COUNTIFS(Checklist!$A$5:$A$137,"14.*",Checklist!$J$5:$J$137,1,Checklist!$E$5:$E$137,"Parcial")</f>
      </c>
      <c r="F18" s="6">
        <f>COUNTIFS(Checklist!$A$5:$A$137,"14.*",Checklist!$J$5:$J$137,1,Checklist!$E$5:$E$137,"Observado")</f>
      </c>
      <c r="G18" s="6">
        <f>COUNTIFS(Checklist!$A$5:$A$137,"14.*",Checklist!$J$5:$J$137,1,Checklist!$E$5:$E$137,"Pendiente")</f>
      </c>
      <c r="H18" s="20">
        <f t="shared" si="0"/>
      </c>
    </row>
    <row r="19" spans="1:8" x14ac:dyDescent="0.3">
      <c r="A19" s="6">
        <v>15</v>
      </c>
      <c r="B19" s="8" t="s">
        <v>327</v>
      </c>
      <c r="C19" s="6">
        <f>COUNTIFS(Checklist!$A$5:$A$137,"15.*",Checklist!$J$5:$J$137,1)</f>
      </c>
      <c r="D19" s="6">
        <f>COUNTIFS(Checklist!$A$5:$A$137,"15.*",Checklist!$J$5:$J$137,1,Checklist!$E$5:$E$137,"Entregado")</f>
      </c>
      <c r="E19" s="6">
        <f>COUNTIFS(Checklist!$A$5:$A$137,"15.*",Checklist!$J$5:$J$137,1,Checklist!$E$5:$E$137,"Parcial")</f>
      </c>
      <c r="F19" s="6">
        <f>COUNTIFS(Checklist!$A$5:$A$137,"15.*",Checklist!$J$5:$J$137,1,Checklist!$E$5:$E$137,"Observado")</f>
      </c>
      <c r="G19" s="6">
        <f>COUNTIFS(Checklist!$A$5:$A$137,"15.*",Checklist!$J$5:$J$137,1,Checklist!$E$5:$E$137,"Pendiente")</f>
      </c>
      <c r="H19" s="20">
        <f t="shared" si="0"/>
      </c>
    </row>
    <row r="20" spans="1:8" x14ac:dyDescent="0.3">
      <c r="A20" s="6">
        <v>16</v>
      </c>
      <c r="B20" s="8" t="s">
        <v>343</v>
      </c>
      <c r="C20" s="6">
        <f>COUNTIFS(Checklist!$A$5:$A$137,"16.*",Checklist!$J$5:$J$137,1)</f>
      </c>
      <c r="D20" s="6">
        <f>COUNTIFS(Checklist!$A$5:$A$137,"16.*",Checklist!$J$5:$J$137,1,Checklist!$E$5:$E$137,"Entregado")</f>
      </c>
      <c r="E20" s="6">
        <f>COUNTIFS(Checklist!$A$5:$A$137,"16.*",Checklist!$J$5:$J$137,1,Checklist!$E$5:$E$137,"Parcial")</f>
      </c>
      <c r="F20" s="6">
        <f>COUNTIFS(Checklist!$A$5:$A$137,"16.*",Checklist!$J$5:$J$137,1,Checklist!$E$5:$E$137,"Observado")</f>
      </c>
      <c r="G20" s="6">
        <f>COUNTIFS(Checklist!$A$5:$A$137,"16.*",Checklist!$J$5:$J$137,1,Checklist!$E$5:$E$137,"Pendiente")</f>
      </c>
      <c r="H20" s="20">
        <f t="shared" si="0"/>
      </c>
    </row>
    <row r="21" spans="1:8" x14ac:dyDescent="0.3">
      <c r="A21" s="21"/>
      <c r="B21" s="22" t="s">
        <v>363</v>
      </c>
      <c r="C21" s="21">
        <f>SUM(C5:C20)</f>
      </c>
      <c r="D21" s="21">
        <f>SUM(D5:D20)</f>
      </c>
      <c r="E21" s="21">
        <f>SUM(E5:E20)</f>
      </c>
      <c r="F21" s="21">
        <f>SUM(F5:F20)</f>
      </c>
      <c r="G21" s="21">
        <f>SUM(G5:G20)</f>
      </c>
      <c r="H21" s="23">
        <f t="shared" si="0"/>
      </c>
    </row>
  </sheetData>
  <conditionalFormatting sqref="H5:H20">
    <cfRule type="dataBar" priority="1">
      <dataBar>
        <cfvo type="num" val="0"/>
        <cfvo type="num" val="1"/>
        <color rgb="FF4472C4"/>
      </dataBar>
    </cfRule>
  </conditionalFormatting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Checklist</vt:lpstr>
      <vt:lpstr>Resumen</vt:lpstr>
      <vt:lpstr>Checklist!Títulos_a_imprimir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Mauricio Ramos Callisaya</cp:lastModifiedBy>
  <dcterms:created xsi:type="dcterms:W3CDTF">2026-10-12T03:00:20Z</dcterms:created>
  <dcterms:modified xsi:type="dcterms:W3CDTF">2026-10-12T19:30:09Z</dcterms:modified>
</cp:coreProperties>
</file>