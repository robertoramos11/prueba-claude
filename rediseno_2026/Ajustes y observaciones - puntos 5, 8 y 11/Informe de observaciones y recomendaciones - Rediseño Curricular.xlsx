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justes realizados" sheetId="2" state="visible" r:id="rId2"/>
    <sheet xmlns:r="http://schemas.openxmlformats.org/officeDocument/2006/relationships" name="Términos" sheetId="3" state="visible" r:id="rId3"/>
    <sheet xmlns:r="http://schemas.openxmlformats.org/officeDocument/2006/relationships" name="Cumplimiento" sheetId="4" state="visible" r:id="rId4"/>
    <sheet xmlns:r="http://schemas.openxmlformats.org/officeDocument/2006/relationships" name="Coherencia" sheetId="5" state="visible" r:id="rId5"/>
    <sheet xmlns:r="http://schemas.openxmlformats.org/officeDocument/2006/relationships" name="Recomendaciones" sheetId="6" state="visible" r:id="rId6"/>
    <sheet xmlns:r="http://schemas.openxmlformats.org/officeDocument/2006/relationships" name="Decisiones y pendientes" sheetId="7" state="visible" r:id="rId7"/>
  </sheets>
  <definedNames>
    <definedName name="_xlnm._FilterDatabase" localSheetId="1" hidden="1">'Ajustes realizados'!$A$4:$C$10</definedName>
    <definedName name="_xlnm._FilterDatabase" localSheetId="2" hidden="1">'Términos'!$A$4:$H$73</definedName>
    <definedName name="_xlnm._FilterDatabase" localSheetId="3" hidden="1">'Cumplimiento'!$A$4:$G$128</definedName>
    <definedName name="_xlnm._FilterDatabase" localSheetId="4" hidden="1">'Coherencia'!$A$4:$F$104</definedName>
    <definedName name="_xlnm._FilterDatabase" localSheetId="5" hidden="1">'Recomendaciones'!$A$4:$D$13</definedName>
    <definedName name="_xlnm._FilterDatabase" localSheetId="6" hidden="1">'Decisiones y pendientes'!$A$4:$D$10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entury Gothic"/>
      <b val="1"/>
      <color rgb="001F3864"/>
      <sz val="13"/>
    </font>
    <font>
      <name val="Century Gothic"/>
      <i val="1"/>
      <sz val="9"/>
    </font>
    <font>
      <name val="Century Gothic"/>
      <sz val="9"/>
    </font>
    <font>
      <name val="Century Gothic"/>
      <b val="1"/>
      <color rgb="00FFFFFF"/>
      <sz val="9"/>
    </font>
    <font>
      <name val="Century Gothic"/>
      <i val="1"/>
      <sz val="8"/>
    </font>
    <font>
      <name val="Century Gothic"/>
      <b val="1"/>
      <sz val="9"/>
    </font>
  </fonts>
  <fills count="3">
    <fill>
      <patternFill/>
    </fill>
    <fill>
      <patternFill patternType="gray125"/>
    </fill>
    <fill>
      <patternFill patternType="solid">
        <fgColor rgb="004472C4"/>
      </patternFill>
    </fill>
  </fills>
  <borders count="2">
    <border>
      <left/>
      <right/>
      <top/>
      <bottom/>
      <diagonal/>
    </border>
    <border>
      <left style="thin">
        <color rgb="001F3864"/>
      </left>
      <right style="thin">
        <color rgb="001F3864"/>
      </right>
      <top style="thin">
        <color rgb="001F3864"/>
      </top>
      <bottom style="thin">
        <color rgb="001F3864"/>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5" fillId="0" borderId="0" pivotButton="0" quotePrefix="0" xfId="0"/>
    <xf numFmtId="0" fontId="3" fillId="0" borderId="0" pivotButton="0" quotePrefix="0" xfId="0"/>
    <xf numFmtId="0" fontId="6" fillId="0" borderId="0"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E7E6E6"/>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9"/>
  <sheetViews>
    <sheetView zoomScale="90" workbookViewId="0">
      <selection pane="bottomLeft" activeCell="A1" sqref="A1"/>
    </sheetView>
  </sheetViews>
  <sheetFormatPr baseColWidth="8" defaultRowHeight="15"/>
  <cols>
    <col width="26" customWidth="1" min="1" max="1"/>
    <col width="52" customWidth="1" min="2" max="2"/>
    <col width="12" customWidth="1" min="3" max="3"/>
    <col width="12" customWidth="1" min="4" max="4"/>
  </cols>
  <sheetData>
    <row r="1">
      <c r="A1" s="1" t="inlineStr">
        <is>
          <t>Observaciones y recomendaciones del Rediseño Curricular</t>
        </is>
      </c>
    </row>
    <row r="2">
      <c r="A2" s="2" t="inlineStr">
        <is>
          <t>Coherencia entre puntos, términos a corregir y cumplimiento de la Resolución HCU N.º 032/2025. Versión en Excel del informe en Word.</t>
        </is>
      </c>
    </row>
    <row r="4" ht="62" customHeight="1">
      <c r="A4" s="3" t="inlineStr">
        <is>
          <t>Este informe reúne las observaciones y recomendaciones sobre los 22 documentos del Rediseño Curricular entregados en tres grupos: revisados y enviados (puntos 1, 2, 3, 9, 10, 14 y 15), revisados y no enviados (puntos 4.1 a 4.4, 4.6 a 4.8, 6, 7 y 8) y no revisados (puntos 5, 11, 12, 13 y 16). El punto 4.5, los planes de asignatura, se trató en la entrega anterior.</t>
        </is>
      </c>
    </row>
    <row r="5" ht="62" customHeight="1">
      <c r="A5" s="3" t="inlineStr">
        <is>
          <t>La revisión tiene cuatro partes: los ajustes que se hicieron en esta entrega, los términos que la comisión corregirá a mano, el control de cumplimiento de la Resolución HCU N.º 032/2025, Reglamento de Innovación Curricular de la UMSA, y las observaciones de coherencia entre los puntos. Se usaron como respaldo la Resolución HCU N.º 565/2024, Reglamento de Admisiones Especiales, y el documento «04 Plan de Estudios 2026».</t>
        </is>
      </c>
    </row>
    <row r="7">
      <c r="A7" s="4" t="inlineStr">
        <is>
          <t>Sección</t>
        </is>
      </c>
      <c r="B7" s="4" t="inlineStr">
        <is>
          <t>Concepto</t>
        </is>
      </c>
      <c r="C7" s="4" t="inlineStr">
        <is>
          <t>Cantidad</t>
        </is>
      </c>
      <c r="D7" s="4" t="inlineStr">
        <is>
          <t>Corregidos</t>
        </is>
      </c>
    </row>
    <row r="8">
      <c r="A8" s="5" t="inlineStr">
        <is>
          <t>Términos a corregir</t>
        </is>
      </c>
      <c r="B8" s="5" t="inlineStr">
        <is>
          <t>Plan de Estudios 2027, Plan 2024 y denominaciones con año</t>
        </is>
      </c>
      <c r="C8" s="6">
        <f>COUNTIF(Términos!B:B,"Plan*")</f>
        <v/>
      </c>
      <c r="D8" s="6">
        <f>COUNTIFS(Términos!B:B,"Plan*",Términos!H:H,"Corregido")</f>
        <v/>
      </c>
    </row>
    <row r="9">
      <c r="A9" s="5" t="inlineStr">
        <is>
          <t>Términos a corregir</t>
        </is>
      </c>
      <c r="B9" s="5" t="inlineStr">
        <is>
          <t>Troncal y troncales</t>
        </is>
      </c>
      <c r="C9" s="6">
        <f>COUNTIF(Términos!B:B,"Troncal*")</f>
        <v/>
      </c>
      <c r="D9" s="6">
        <f>COUNTIFS(Términos!B:B,"Troncal*",Términos!H:H,"Corregido")</f>
        <v/>
      </c>
    </row>
    <row r="10">
      <c r="A10" s="5" t="inlineStr">
        <is>
          <t>Términos a corregir</t>
        </is>
      </c>
      <c r="B10" s="5" t="inlineStr">
        <is>
          <t>Contextual y contextuales</t>
        </is>
      </c>
      <c r="C10" s="6">
        <f>COUNTIF(Términos!B:B,"Contextual*")</f>
        <v/>
      </c>
      <c r="D10" s="6">
        <f>COUNTIFS(Términos!B:B,"Contextual*",Términos!H:H,"Corregido")</f>
        <v/>
      </c>
    </row>
    <row r="11">
      <c r="A11" s="5" t="inlineStr">
        <is>
          <t>Términos a corregir</t>
        </is>
      </c>
      <c r="B11" s="5" t="inlineStr">
        <is>
          <t>Contador Público Autorizado fuera del título</t>
        </is>
      </c>
      <c r="C11" s="6">
        <f>COUNTIF(Términos!B:B,"Contador*")</f>
        <v/>
      </c>
      <c r="D11" s="6">
        <f>COUNTIFS(Términos!B:B,"Contador*",Términos!H:H,"Corregido")</f>
        <v/>
      </c>
    </row>
    <row r="12">
      <c r="A12" s="5" t="inlineStr">
        <is>
          <t>Cumplimiento HCU 032/2025</t>
        </is>
      </c>
      <c r="B12" s="5" t="inlineStr">
        <is>
          <t>Requisitos que se cumplen</t>
        </is>
      </c>
      <c r="C12" s="6">
        <f>COUNTIF(Cumplimiento!D:D,"Cumple")</f>
        <v/>
      </c>
      <c r="D12" s="6" t="inlineStr"/>
    </row>
    <row r="13">
      <c r="A13" s="5" t="inlineStr">
        <is>
          <t>Cumplimiento HCU 032/2025</t>
        </is>
      </c>
      <c r="B13" s="5" t="inlineStr">
        <is>
          <t>Requisitos que se cumplen en parte</t>
        </is>
      </c>
      <c r="C13" s="6">
        <f>COUNTIF(Cumplimiento!D:D,"Parcial")</f>
        <v/>
      </c>
      <c r="D13" s="6">
        <f>COUNTIFS(Cumplimiento!D:D,"Parcial",Cumplimiento!G:G,"Corregido")</f>
        <v/>
      </c>
    </row>
    <row r="14">
      <c r="A14" s="5" t="inlineStr">
        <is>
          <t>Cumplimiento HCU 032/2025</t>
        </is>
      </c>
      <c r="B14" s="5" t="inlineStr">
        <is>
          <t>Requisitos que no se cumplen</t>
        </is>
      </c>
      <c r="C14" s="6">
        <f>COUNTIF(Cumplimiento!D:D,"No cumple")</f>
        <v/>
      </c>
      <c r="D14" s="6">
        <f>COUNTIFS(Cumplimiento!D:D,"No cumple",Cumplimiento!G:G,"Corregido")</f>
        <v/>
      </c>
    </row>
    <row r="15">
      <c r="A15" s="5" t="inlineStr">
        <is>
          <t>Coherencia</t>
        </is>
      </c>
      <c r="B15" s="5" t="inlineStr">
        <is>
          <t>Observaciones de prioridad alta</t>
        </is>
      </c>
      <c r="C15" s="6">
        <f>COUNTIF(Coherencia!B:B,"Alta")</f>
        <v/>
      </c>
      <c r="D15" s="6">
        <f>COUNTIFS(Coherencia!B:B,"Alta",Coherencia!F:F,"Corregido")</f>
        <v/>
      </c>
    </row>
    <row r="16">
      <c r="A16" s="5" t="inlineStr">
        <is>
          <t>Coherencia</t>
        </is>
      </c>
      <c r="B16" s="5" t="inlineStr">
        <is>
          <t>Observaciones de prioridad media</t>
        </is>
      </c>
      <c r="C16" s="6">
        <f>COUNTIF(Coherencia!B:B,"Media")</f>
        <v/>
      </c>
      <c r="D16" s="6">
        <f>COUNTIFS(Coherencia!B:B,"Media",Coherencia!F:F,"Corregido")</f>
        <v/>
      </c>
    </row>
    <row r="17">
      <c r="A17" s="5" t="inlineStr">
        <is>
          <t>Coherencia</t>
        </is>
      </c>
      <c r="B17" s="5" t="inlineStr">
        <is>
          <t>Observaciones de prioridad baja</t>
        </is>
      </c>
      <c r="C17" s="6">
        <f>COUNTIF(Coherencia!B:B,"Baja")</f>
        <v/>
      </c>
      <c r="D17" s="6">
        <f>COUNTIFS(Coherencia!B:B,"Baja",Coherencia!F:F,"Corregido")</f>
        <v/>
      </c>
    </row>
    <row r="19">
      <c r="A19" s="7" t="inlineStr">
        <is>
          <t>Las columnas «Seguimiento» de cada hoja permiten marcar Pendiente, En proceso, Corregido o No aplica; los conteos de esta hoja se actualizan solos.</t>
        </is>
      </c>
    </row>
  </sheetData>
  <mergeCells count="2">
    <mergeCell ref="A5:F5"/>
    <mergeCell ref="A4:F4"/>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C12"/>
  <sheetViews>
    <sheetView zoomScale="90" workbookViewId="0">
      <pane ySplit="4" topLeftCell="A5" activePane="bottomLeft" state="frozen"/>
      <selection pane="bottomLeft" activeCell="A1" sqref="A1"/>
    </sheetView>
  </sheetViews>
  <sheetFormatPr baseColWidth="8" defaultRowHeight="15"/>
  <cols>
    <col width="10" customWidth="1" min="1" max="1"/>
    <col width="90" customWidth="1" min="2" max="2"/>
    <col width="34" customWidth="1" min="3" max="3"/>
  </cols>
  <sheetData>
    <row r="1">
      <c r="A1" s="1" t="inlineStr">
        <is>
          <t>Ajustes realizados en esta entrega</t>
        </is>
      </c>
    </row>
    <row r="2">
      <c r="A2" s="2" t="inlineStr">
        <is>
          <t>Cambios aplicados a los puntos 5, 8 y 11.</t>
        </is>
      </c>
    </row>
    <row r="4">
      <c r="A4" s="4" t="inlineStr">
        <is>
          <t>Punto</t>
        </is>
      </c>
      <c r="B4" s="4" t="inlineStr">
        <is>
          <t>Ajuste</t>
        </is>
      </c>
      <c r="C4" s="4" t="inlineStr">
        <is>
          <t>Fuente</t>
        </is>
      </c>
    </row>
    <row r="5">
      <c r="A5" s="6" t="inlineStr">
        <is>
          <t>8.4</t>
        </is>
      </c>
      <c r="B5" s="5" t="inlineStr">
        <is>
          <t>La carga horaria de investigación es ahora la suma de las horas de investigación y práctica (HIP) de los 43 planes de asignatura: 874 horas, el 9,7 % de las 9.000 horas de trabajo. Se presentan por año (Cuadro 3) y por asignatura (Cuadro 4). Los cuadros siguientes del punto 8 se renumeraron.</t>
        </is>
      </c>
      <c r="C5" s="5" t="inlineStr">
        <is>
          <t>Planes de asignatura del punto 4.5</t>
        </is>
      </c>
    </row>
    <row r="6">
      <c r="A6" s="6" t="inlineStr">
        <is>
          <t>5.2</t>
        </is>
      </c>
      <c r="B6" s="5" t="inlineStr">
        <is>
          <t>Se corrigió la descripción de la admisión especial en el Cuadro 1 y se añadió el Cuadro 2 con sus seis modalidades: profesionales, olimpiadas científicas, mejores bachilleres, personas con discapacidad, deportistas destacados y convenios internacionales, con la instancia que aprueba el ingreso. Se añadió la regularización del Artículo 7.</t>
        </is>
      </c>
      <c r="C6" s="5" t="inlineStr">
        <is>
          <t>Resolución HCU N.º 565/2024, Artículos 3, 4, 5 y 7</t>
        </is>
      </c>
    </row>
    <row r="7">
      <c r="A7" s="6" t="inlineStr">
        <is>
          <t>5.3.4</t>
        </is>
      </c>
      <c r="B7" s="5" t="inlineStr">
        <is>
          <t>Las mesas de examen se redactaron como en el documento «04 Plan de Estudios 2026»: norma, definición, condiciones de habilitación y lista de asignaturas habilitadas (nuevo Cuadro 4). Se retiró la remisión al punto 4.7.5, que ya no existe. Los cuadros siguientes del punto 5 se renumeraron.</t>
        </is>
      </c>
      <c r="C7" s="5" t="inlineStr">
        <is>
          <t>Resolución HCU N.º 352/2021 y archivo 04</t>
        </is>
      </c>
    </row>
    <row r="8">
      <c r="A8" s="6" t="inlineStr">
        <is>
          <t>5.3.3</t>
        </is>
      </c>
      <c r="B8" s="5" t="inlineStr">
        <is>
          <t>Se reemplazó el texto de los cursos de temporada por el del archivo 04 CA: normas de la Resolución HCU N.º 093/2006, propósito, alcance por áreas y condición de recuperación con nota previa de al menos 30 sobre 100. Se quitó la modalidad híbrida, que no figura en ese archivo, y se corrigió «Artículo 6ª» por «Artículo 6º».</t>
        </is>
      </c>
      <c r="C8" s="5" t="inlineStr">
        <is>
          <t>Archivo 04 Plan de Estudios 2026 CA</t>
        </is>
      </c>
    </row>
    <row r="9">
      <c r="A9" s="6" t="inlineStr">
        <is>
          <t>5.4.2</t>
        </is>
      </c>
      <c r="B9" s="5" t="inlineStr">
        <is>
          <t>Se incorporó la articulación grado - posgrado (monografía o examen vía diplomado) como inciso f, con el texto del archivo 04 CA y resaltada en amarillo para revisarla después. El PETAENG pasó a ser el inciso g.</t>
        </is>
      </c>
      <c r="C9" s="5" t="inlineStr">
        <is>
          <t>Archivo 04 Plan de Estudios 2026 CA</t>
        </is>
      </c>
    </row>
    <row r="10">
      <c r="A10" s="6" t="inlineStr">
        <is>
          <t>11.2.2</t>
        </is>
      </c>
      <c r="B10" s="5" t="inlineStr">
        <is>
          <t>En el Cuadro 9 se copiaron los requisitos del docente de las áreas de Administración y Derecho, con el mismo resaltado del archivo CA: amarillo y verde para el texto del archivo y rojo para lo que se aumenta («con Posgrado en el área de administración (al menos diplomado)» y «(al menos diplomado en tributación)»). Se corrigieron «Titulo» por «Título» y «area de administracion» por «área de administración».</t>
        </is>
      </c>
      <c r="C10" s="5" t="inlineStr">
        <is>
          <t>Archivo 04 Plan de Estudios 2026 CA</t>
        </is>
      </c>
    </row>
    <row r="12">
      <c r="A12" s="2" t="inlineStr">
        <is>
          <t>Quedan resaltados en amarillo el inciso f del punto 5.4.2, para revisarlo después, y la resolución del PETAENG («xxx»), que la comisión solicitará.</t>
        </is>
      </c>
    </row>
  </sheetData>
  <autoFilter ref="A4:C10"/>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79"/>
  <sheetViews>
    <sheetView zoomScale="90" workbookViewId="0">
      <pane ySplit="4" topLeftCell="A5" activePane="bottomLeft" state="frozen"/>
      <selection pane="bottomLeft" activeCell="A1" sqref="A1"/>
    </sheetView>
  </sheetViews>
  <sheetFormatPr baseColWidth="8" defaultRowHeight="15"/>
  <cols>
    <col width="5" customWidth="1" min="1" max="1"/>
    <col width="24" customWidth="1" min="2" max="2"/>
    <col width="30" customWidth="1" min="3" max="3"/>
    <col width="8" customWidth="1" min="4" max="4"/>
    <col width="11" customWidth="1" min="5" max="5"/>
    <col width="70" customWidth="1" min="6" max="6"/>
    <col width="30" customWidth="1" min="7" max="7"/>
    <col width="13" customWidth="1" min="8" max="8"/>
  </cols>
  <sheetData>
    <row r="1">
      <c r="A1" s="1" t="inlineStr">
        <is>
          <t>Términos a corregir manualmente</t>
        </is>
      </c>
    </row>
    <row r="2">
      <c r="A2" s="2" t="inlineStr">
        <is>
          <t>No se corrigieron en los documentos. El término aparece en negrita dentro del fragmento.</t>
        </is>
      </c>
    </row>
    <row r="4">
      <c r="A4" s="4" t="inlineStr">
        <is>
          <t>N°</t>
        </is>
      </c>
      <c r="B4" s="4" t="inlineStr">
        <is>
          <t>Término</t>
        </is>
      </c>
      <c r="C4" s="4" t="inlineStr">
        <is>
          <t>Archivo</t>
        </is>
      </c>
      <c r="D4" s="4" t="inlineStr">
        <is>
          <t>Punto</t>
        </is>
      </c>
      <c r="E4" s="4" t="inlineStr">
        <is>
          <t>Ubicación</t>
        </is>
      </c>
      <c r="F4" s="4" t="inlineStr">
        <is>
          <t>Fragmento</t>
        </is>
      </c>
      <c r="G4" s="4" t="inlineStr">
        <is>
          <t>Sugerencia</t>
        </is>
      </c>
      <c r="H4" s="4" t="inlineStr">
        <is>
          <t>Seguimiento</t>
        </is>
      </c>
    </row>
    <row r="5">
      <c r="A5" s="6" t="n">
        <v>1</v>
      </c>
      <c r="B5" s="5" t="inlineStr">
        <is>
          <t>Plan de Estudios 2027 / 2024</t>
        </is>
      </c>
      <c r="C5" s="5" t="inlineStr">
        <is>
          <t>4.4 Estructura curricular</t>
        </is>
      </c>
      <c r="D5" s="6" t="inlineStr">
        <is>
          <t>4.4.4</t>
        </is>
      </c>
      <c r="E5" s="6" t="inlineStr">
        <is>
          <t>Texto</t>
        </is>
      </c>
      <c r="F5" s="5" t="inlineStr">
        <is>
          <r>
            <rPr>
              <rFont val="Century Gothic"/>
              <sz val="9"/>
            </rPr>
            <t xml:space="preserve">…no presenciales. Créd.: créditos. Fuente: elaboración con base en la </t>
          </r>
          <r>
            <rPr>
              <rFont val="Century Gothic"/>
              <b val="1"/>
              <sz val="9"/>
            </rPr>
            <t>Malla Curricular 2026</t>
          </r>
          <r>
            <rPr>
              <rFont val="Century Gothic"/>
              <sz val="9"/>
            </rPr>
            <t xml:space="preserve"> de la Carrera de Contaduría Pública y la Resolución HCU N.º…</t>
          </r>
        </is>
      </c>
      <c r="G5" s="5" t="inlineStr">
        <is>
          <t>Rediseño Curricular (o «el presente rediseño»)</t>
        </is>
      </c>
      <c r="H5" s="8" t="inlineStr">
        <is>
          <t>Pendiente</t>
        </is>
      </c>
    </row>
    <row r="6">
      <c r="A6" s="6" t="n">
        <v>2</v>
      </c>
      <c r="B6" s="5" t="inlineStr">
        <is>
          <t>Plan de Estudios 2027 / 2024</t>
        </is>
      </c>
      <c r="C6" s="5" t="inlineStr">
        <is>
          <t>9. Material bibliográfico</t>
        </is>
      </c>
      <c r="D6" s="6" t="inlineStr">
        <is>
          <t>9.1.1</t>
        </is>
      </c>
      <c r="E6" s="6" t="inlineStr">
        <is>
          <t>Texto</t>
        </is>
      </c>
      <c r="F6" s="5" t="inlineStr">
        <is>
          <r>
            <rPr>
              <rFont val="Century Gothic"/>
              <sz val="9"/>
            </rPr>
            <t xml:space="preserve">…distintos de clasificación de las modalidades de graduación. El </t>
          </r>
          <r>
            <rPr>
              <rFont val="Century Gothic"/>
              <b val="1"/>
              <sz val="9"/>
            </rPr>
            <t>Plan 2024</t>
          </r>
          <r>
            <rPr>
              <rFont val="Century Gothic"/>
              <sz val="9"/>
            </rPr>
            <t xml:space="preserve"> consignaba 5.702 libros y 3.046 trabajos académicos, lo que muestra…</t>
          </r>
        </is>
      </c>
      <c r="G6" s="5" t="inlineStr">
        <is>
          <t>Rediseño Curricular (o «el presente rediseño»)</t>
        </is>
      </c>
      <c r="H6" s="8" t="inlineStr">
        <is>
          <t>Pendiente</t>
        </is>
      </c>
    </row>
    <row r="7">
      <c r="A7" s="6" t="n">
        <v>3</v>
      </c>
      <c r="B7" s="5" t="inlineStr">
        <is>
          <t>Plan de Estudios 2027 / 2024</t>
        </is>
      </c>
      <c r="C7" s="5" t="inlineStr">
        <is>
          <t>9. Material bibliográfico</t>
        </is>
      </c>
      <c r="D7" s="6" t="inlineStr">
        <is>
          <t>9.1.1</t>
        </is>
      </c>
      <c r="E7" s="6" t="inlineStr">
        <is>
          <t>Texto</t>
        </is>
      </c>
      <c r="F7" s="5" t="inlineStr">
        <is>
          <r>
            <rPr>
              <rFont val="Century Gothic"/>
              <sz val="9"/>
            </rPr>
            <t xml:space="preserve">…institucional de la UMSA, que ofrece documentos a texto completo; el </t>
          </r>
          <r>
            <rPr>
              <rFont val="Century Gothic"/>
              <b val="1"/>
              <sz val="9"/>
            </rPr>
            <t>Plan 2024</t>
          </r>
          <r>
            <rPr>
              <rFont val="Century Gothic"/>
              <sz val="9"/>
            </rPr>
            <t xml:space="preserve"> registró 2.806 documentos digitales de la Carrera en ese…</t>
          </r>
        </is>
      </c>
      <c r="G7" s="5" t="inlineStr">
        <is>
          <t>Rediseño Curricular (o «el presente rediseño»)</t>
        </is>
      </c>
      <c r="H7" s="8" t="inlineStr">
        <is>
          <t>Pendiente</t>
        </is>
      </c>
    </row>
    <row r="8">
      <c r="A8" s="6" t="n">
        <v>4</v>
      </c>
      <c r="B8" s="5" t="inlineStr">
        <is>
          <t>Plan de Estudios 2027 / 2024</t>
        </is>
      </c>
      <c r="C8" s="5" t="inlineStr">
        <is>
          <t>11. Implementación del proyecto curricular</t>
        </is>
      </c>
      <c r="D8" s="6" t="inlineStr">
        <is>
          <t>11</t>
        </is>
      </c>
      <c r="E8" s="6" t="inlineStr">
        <is>
          <t>Texto</t>
        </is>
      </c>
      <c r="F8" s="5" t="inlineStr">
        <is>
          <r>
            <rPr>
              <rFont val="Century Gothic"/>
              <sz val="9"/>
            </rPr>
            <t xml:space="preserve">…condiciones materiales, humanas y financieras para implementar el </t>
          </r>
          <r>
            <rPr>
              <rFont val="Century Gothic"/>
              <b val="1"/>
              <sz val="9"/>
            </rPr>
            <t>Plan de Estudios 2027</t>
          </r>
          <r>
            <rPr>
              <rFont val="Century Gothic"/>
              <sz val="9"/>
            </rPr>
            <t>. Parte del contraste entre los registros institucionales y la…</t>
          </r>
        </is>
      </c>
      <c r="G8" s="5" t="inlineStr">
        <is>
          <t>Rediseño Curricular (o «el presente rediseño»)</t>
        </is>
      </c>
      <c r="H8" s="8" t="inlineStr">
        <is>
          <t>Pendiente</t>
        </is>
      </c>
    </row>
    <row r="9">
      <c r="A9" s="6" t="n">
        <v>5</v>
      </c>
      <c r="B9" s="5" t="inlineStr">
        <is>
          <t>Plan de Estudios 2027 / 2024</t>
        </is>
      </c>
      <c r="C9" s="5" t="inlineStr">
        <is>
          <t>11. Implementación del proyecto curricular</t>
        </is>
      </c>
      <c r="D9" s="6" t="inlineStr">
        <is>
          <t>11.1.4</t>
        </is>
      </c>
      <c r="E9" s="6" t="inlineStr">
        <is>
          <t>Texto</t>
        </is>
      </c>
      <c r="F9" s="5" t="inlineStr">
        <is>
          <r>
            <rPr>
              <rFont val="Century Gothic"/>
              <sz val="9"/>
            </rPr>
            <t xml:space="preserve">…11.1.4Requerimientos para el </t>
          </r>
          <r>
            <rPr>
              <rFont val="Century Gothic"/>
              <b val="1"/>
              <sz val="9"/>
            </rPr>
            <t>Plan 2027</t>
          </r>
          <r>
            <rPr>
              <rFont val="Century Gothic"/>
              <sz val="9"/>
            </rPr>
            <t xml:space="preserve"> y propuestas de mejora…</t>
          </r>
        </is>
      </c>
      <c r="G9" s="5" t="inlineStr">
        <is>
          <t>Rediseño Curricular (o «el presente rediseño»)</t>
        </is>
      </c>
      <c r="H9" s="8" t="inlineStr">
        <is>
          <t>Pendiente</t>
        </is>
      </c>
    </row>
    <row r="10">
      <c r="A10" s="6" t="n">
        <v>6</v>
      </c>
      <c r="B10" s="5" t="inlineStr">
        <is>
          <t>Plan de Estudios 2027 / 2024</t>
        </is>
      </c>
      <c r="C10" s="5" t="inlineStr">
        <is>
          <t>11. Implementación del proyecto curricular</t>
        </is>
      </c>
      <c r="D10" s="6" t="inlineStr">
        <is>
          <t>11.1.4</t>
        </is>
      </c>
      <c r="E10" s="6" t="inlineStr">
        <is>
          <t>Texto</t>
        </is>
      </c>
      <c r="F10" s="5" t="inlineStr">
        <is>
          <r>
            <rPr>
              <rFont val="Century Gothic"/>
              <sz val="9"/>
            </rPr>
            <t xml:space="preserve">…El </t>
          </r>
          <r>
            <rPr>
              <rFont val="Century Gothic"/>
              <b val="1"/>
              <sz val="9"/>
            </rPr>
            <t>Plan 2027</t>
          </r>
          <r>
            <rPr>
              <rFont val="Century Gothic"/>
              <sz val="9"/>
            </rPr>
            <t xml:space="preserve"> exige simular entornos profesionales reales, procesar datos…</t>
          </r>
        </is>
      </c>
      <c r="G10" s="5" t="inlineStr">
        <is>
          <t>Rediseño Curricular (o «el presente rediseño»)</t>
        </is>
      </c>
      <c r="H10" s="8" t="inlineStr">
        <is>
          <t>Pendiente</t>
        </is>
      </c>
    </row>
    <row r="11">
      <c r="A11" s="6" t="n">
        <v>7</v>
      </c>
      <c r="B11" s="5" t="inlineStr">
        <is>
          <t>Plan de Estudios 2027 / 2024</t>
        </is>
      </c>
      <c r="C11" s="5" t="inlineStr">
        <is>
          <t>11. Implementación del proyecto curricular</t>
        </is>
      </c>
      <c r="D11" s="6" t="inlineStr">
        <is>
          <t>11.2.2</t>
        </is>
      </c>
      <c r="E11" s="6" t="inlineStr">
        <is>
          <t>Texto</t>
        </is>
      </c>
      <c r="F11" s="5" t="inlineStr">
        <is>
          <r>
            <rPr>
              <rFont val="Century Gothic"/>
              <sz val="9"/>
            </rPr>
            <t xml:space="preserve">…la calidad académica y la idoneidad pedagógica en la ejecución del </t>
          </r>
          <r>
            <rPr>
              <rFont val="Century Gothic"/>
              <b val="1"/>
              <sz val="9"/>
            </rPr>
            <t>Plan 2027</t>
          </r>
          <r>
            <rPr>
              <rFont val="Century Gothic"/>
              <sz val="9"/>
            </rPr>
            <t>, se define el perfil del docente por área de conocimiento, en…</t>
          </r>
        </is>
      </c>
      <c r="G11" s="5" t="inlineStr">
        <is>
          <t>Rediseño Curricular (o «el presente rediseño»)</t>
        </is>
      </c>
      <c r="H11" s="8" t="inlineStr">
        <is>
          <t>Pendiente</t>
        </is>
      </c>
    </row>
    <row r="12">
      <c r="A12" s="6" t="n">
        <v>8</v>
      </c>
      <c r="B12" s="5" t="inlineStr">
        <is>
          <t>Plan de Estudios 2027 / 2024</t>
        </is>
      </c>
      <c r="C12" s="5" t="inlineStr">
        <is>
          <t>11. Implementación del proyecto curricular</t>
        </is>
      </c>
      <c r="D12" s="6" t="inlineStr">
        <is>
          <t>11.2.2</t>
        </is>
      </c>
      <c r="E12" s="6" t="inlineStr">
        <is>
          <t>Texto</t>
        </is>
      </c>
      <c r="F12" s="5" t="inlineStr">
        <is>
          <r>
            <rPr>
              <rFont val="Century Gothic"/>
              <sz val="9"/>
            </rPr>
            <t xml:space="preserve">…Por la naturaleza especializada de las seis áreas de la </t>
          </r>
          <r>
            <rPr>
              <rFont val="Century Gothic"/>
              <b val="1"/>
              <sz val="9"/>
            </rPr>
            <t>malla 2027</t>
          </r>
          <r>
            <rPr>
              <rFont val="Century Gothic"/>
              <sz val="9"/>
            </rPr>
            <t>, se establecen además los siguientes requisitos por área:…</t>
          </r>
        </is>
      </c>
      <c r="G12" s="5" t="inlineStr">
        <is>
          <t>Rediseño Curricular (o «el presente rediseño»)</t>
        </is>
      </c>
      <c r="H12" s="8" t="inlineStr">
        <is>
          <t>Pendiente</t>
        </is>
      </c>
    </row>
    <row r="13">
      <c r="A13" s="6" t="n">
        <v>9</v>
      </c>
      <c r="B13" s="5" t="inlineStr">
        <is>
          <t>Plan de Estudios 2027 / 2024</t>
        </is>
      </c>
      <c r="C13" s="5" t="inlineStr">
        <is>
          <t>11. Implementación del proyecto curricular</t>
        </is>
      </c>
      <c r="D13" s="6" t="inlineStr">
        <is>
          <t>11.2.2</t>
        </is>
      </c>
      <c r="E13" s="6" t="inlineStr">
        <is>
          <t>Texto</t>
        </is>
      </c>
      <c r="F13" s="5" t="inlineStr">
        <is>
          <r>
            <rPr>
              <rFont val="Century Gothic"/>
              <sz val="9"/>
            </rPr>
            <t xml:space="preserve">…Fuente: elaboración con base en las IES 2 e IES 4 de la IFAC y en la </t>
          </r>
          <r>
            <rPr>
              <rFont val="Century Gothic"/>
              <b val="1"/>
              <sz val="9"/>
            </rPr>
            <t>malla curricular 2027</t>
          </r>
          <r>
            <rPr>
              <rFont val="Century Gothic"/>
              <sz val="9"/>
            </rPr>
            <t>.…</t>
          </r>
        </is>
      </c>
      <c r="G13" s="5" t="inlineStr">
        <is>
          <t>Rediseño Curricular (o «el presente rediseño»)</t>
        </is>
      </c>
      <c r="H13" s="8" t="inlineStr">
        <is>
          <t>Pendiente</t>
        </is>
      </c>
    </row>
    <row r="14">
      <c r="A14" s="6" t="n">
        <v>10</v>
      </c>
      <c r="B14" s="5" t="inlineStr">
        <is>
          <t>Plan de Estudios 2027 / 2024</t>
        </is>
      </c>
      <c r="C14" s="5" t="inlineStr">
        <is>
          <t>11. Implementación del proyecto curricular</t>
        </is>
      </c>
      <c r="D14" s="6" t="inlineStr">
        <is>
          <t>11.2.2</t>
        </is>
      </c>
      <c r="E14" s="6" t="inlineStr">
        <is>
          <t>Texto</t>
        </is>
      </c>
      <c r="F14" s="5" t="inlineStr">
        <is>
          <r>
            <rPr>
              <rFont val="Century Gothic"/>
              <sz val="9"/>
            </rPr>
            <t xml:space="preserve">…Los docentes titulares en ejercicio al inicio del </t>
          </r>
          <r>
            <rPr>
              <rFont val="Century Gothic"/>
              <b val="1"/>
              <sz val="9"/>
            </rPr>
            <t>Plan 2027</t>
          </r>
          <r>
            <rPr>
              <rFont val="Century Gothic"/>
              <sz val="9"/>
            </rPr>
            <t xml:space="preserve"> conservan su cátedra en la asignatura equivalente, conforme al punto…</t>
          </r>
        </is>
      </c>
      <c r="G14" s="5" t="inlineStr">
        <is>
          <t>Rediseño Curricular (o «el presente rediseño»)</t>
        </is>
      </c>
      <c r="H14" s="8" t="inlineStr">
        <is>
          <t>Pendiente</t>
        </is>
      </c>
    </row>
    <row r="15">
      <c r="A15" s="6" t="n">
        <v>11</v>
      </c>
      <c r="B15" s="5" t="inlineStr">
        <is>
          <t>Plan de Estudios 2027 / 2024</t>
        </is>
      </c>
      <c r="C15" s="5" t="inlineStr">
        <is>
          <t>11. Implementación del proyecto curricular</t>
        </is>
      </c>
      <c r="D15" s="6" t="inlineStr">
        <is>
          <t>11.2.2</t>
        </is>
      </c>
      <c r="E15" s="6" t="inlineStr">
        <is>
          <t>Texto</t>
        </is>
      </c>
      <c r="F15" s="5" t="inlineStr">
        <is>
          <r>
            <rPr>
              <rFont val="Century Gothic"/>
              <sz val="9"/>
            </rPr>
            <t xml:space="preserve">…elaboración con base en el perfil docente y los requerimientos del </t>
          </r>
          <r>
            <rPr>
              <rFont val="Century Gothic"/>
              <b val="1"/>
              <sz val="9"/>
            </rPr>
            <t>Plan 2027</t>
          </r>
          <r>
            <rPr>
              <rFont val="Century Gothic"/>
              <sz val="9"/>
            </rPr>
            <t>.…</t>
          </r>
        </is>
      </c>
      <c r="G15" s="5" t="inlineStr">
        <is>
          <t>Rediseño Curricular (o «el presente rediseño»)</t>
        </is>
      </c>
      <c r="H15" s="8" t="inlineStr">
        <is>
          <t>Pendiente</t>
        </is>
      </c>
    </row>
    <row r="16">
      <c r="A16" s="6" t="n">
        <v>12</v>
      </c>
      <c r="B16" s="5" t="inlineStr">
        <is>
          <t>Plan de Estudios 2027 / 2024</t>
        </is>
      </c>
      <c r="C16" s="5" t="inlineStr">
        <is>
          <t>11. Implementación del proyecto curricular</t>
        </is>
      </c>
      <c r="D16" s="6" t="inlineStr">
        <is>
          <t>11.2.3</t>
        </is>
      </c>
      <c r="E16" s="6" t="inlineStr">
        <is>
          <t>Texto</t>
        </is>
      </c>
      <c r="F16" s="5" t="inlineStr">
        <is>
          <r>
            <rPr>
              <rFont val="Century Gothic"/>
              <sz val="9"/>
            </rPr>
            <t xml:space="preserve">…La implementación del </t>
          </r>
          <r>
            <rPr>
              <rFont val="Century Gothic"/>
              <b val="1"/>
              <sz val="9"/>
            </rPr>
            <t>Plan 2027</t>
          </r>
          <r>
            <rPr>
              <rFont val="Century Gothic"/>
              <sz val="9"/>
            </rPr>
            <t xml:space="preserve"> requiere las siguientes medidas:…</t>
          </r>
        </is>
      </c>
      <c r="G16" s="5" t="inlineStr">
        <is>
          <t>Rediseño Curricular (o «el presente rediseño»)</t>
        </is>
      </c>
      <c r="H16" s="8" t="inlineStr">
        <is>
          <t>Pendiente</t>
        </is>
      </c>
    </row>
    <row r="17">
      <c r="A17" s="6" t="n">
        <v>13</v>
      </c>
      <c r="B17" s="5" t="inlineStr">
        <is>
          <t>Plan de Estudios 2027 / 2024</t>
        </is>
      </c>
      <c r="C17" s="5" t="inlineStr">
        <is>
          <t>11. Implementación del proyecto curricular</t>
        </is>
      </c>
      <c r="D17" s="6" t="inlineStr">
        <is>
          <t>11.3.1</t>
        </is>
      </c>
      <c r="E17" s="6" t="inlineStr">
        <is>
          <t>Texto</t>
        </is>
      </c>
      <c r="F17" s="5" t="inlineStr">
        <is>
          <r>
            <rPr>
              <rFont val="Century Gothic"/>
              <sz val="9"/>
            </rPr>
            <t xml:space="preserve">…evaluar la capacidad financiera que respaldará la implementación del </t>
          </r>
          <r>
            <rPr>
              <rFont val="Century Gothic"/>
              <b val="1"/>
              <sz val="9"/>
            </rPr>
            <t>Plan 2027</t>
          </r>
          <r>
            <rPr>
              <rFont val="Century Gothic"/>
              <sz val="9"/>
            </rPr>
            <t>, se analizó la ejecución presupuestaria de gastos de la Carrera…</t>
          </r>
        </is>
      </c>
      <c r="G17" s="5" t="inlineStr">
        <is>
          <t>Rediseño Curricular (o «el presente rediseño»)</t>
        </is>
      </c>
      <c r="H17" s="8" t="inlineStr">
        <is>
          <t>Pendiente</t>
        </is>
      </c>
    </row>
    <row r="18">
      <c r="A18" s="6" t="n">
        <v>14</v>
      </c>
      <c r="B18" s="5" t="inlineStr">
        <is>
          <t>Plan de Estudios 2027 / 2024</t>
        </is>
      </c>
      <c r="C18" s="5" t="inlineStr">
        <is>
          <t>11. Implementación del proyecto curricular</t>
        </is>
      </c>
      <c r="D18" s="6" t="inlineStr">
        <is>
          <t>11.3.2</t>
        </is>
      </c>
      <c r="E18" s="6" t="inlineStr">
        <is>
          <t>Texto</t>
        </is>
      </c>
      <c r="F18" s="5" t="inlineStr">
        <is>
          <r>
            <rPr>
              <rFont val="Century Gothic"/>
              <sz val="9"/>
            </rPr>
            <t xml:space="preserve">…inercial y una ejecución baja. La política presupuestaria del </t>
          </r>
          <r>
            <rPr>
              <rFont val="Century Gothic"/>
              <b val="1"/>
              <sz val="9"/>
            </rPr>
            <t>Plan 2027</t>
          </r>
          <r>
            <rPr>
              <rFont val="Century Gothic"/>
              <sz val="9"/>
            </rPr>
            <t xml:space="preserve"> se rige por los siguientes lineamientos:…</t>
          </r>
        </is>
      </c>
      <c r="G18" s="5" t="inlineStr">
        <is>
          <t>Rediseño Curricular (o «el presente rediseño»)</t>
        </is>
      </c>
      <c r="H18" s="8" t="inlineStr">
        <is>
          <t>Pendiente</t>
        </is>
      </c>
    </row>
    <row r="19">
      <c r="A19" s="6" t="n">
        <v>15</v>
      </c>
      <c r="B19" s="5" t="inlineStr">
        <is>
          <t>Plan de Estudios 2027 / 2024</t>
        </is>
      </c>
      <c r="C19" s="5" t="inlineStr">
        <is>
          <t>12. Evaluación curricular</t>
        </is>
      </c>
      <c r="D19" s="6" t="inlineStr">
        <is>
          <t>12.2.4</t>
        </is>
      </c>
      <c r="E19" s="6" t="inlineStr">
        <is>
          <t>Texto</t>
        </is>
      </c>
      <c r="F19" s="5" t="inlineStr">
        <is>
          <r>
            <rPr>
              <rFont val="Century Gothic"/>
              <sz val="9"/>
            </rPr>
            <t xml:space="preserve">…esa encuesta dará la línea base del Plan 2013 antes de aplicar el </t>
          </r>
          <r>
            <rPr>
              <rFont val="Century Gothic"/>
              <b val="1"/>
              <sz val="9"/>
            </rPr>
            <t>Plan 2027</t>
          </r>
          <r>
            <rPr>
              <rFont val="Century Gothic"/>
              <sz val="9"/>
            </rPr>
            <t>.…</t>
          </r>
        </is>
      </c>
      <c r="G19" s="5" t="inlineStr">
        <is>
          <t>Rediseño Curricular (o «el presente rediseño»)</t>
        </is>
      </c>
      <c r="H19" s="8" t="inlineStr">
        <is>
          <t>Pendiente</t>
        </is>
      </c>
    </row>
    <row r="20">
      <c r="A20" s="6" t="n">
        <v>16</v>
      </c>
      <c r="B20" s="5" t="inlineStr">
        <is>
          <t>Plan de Estudios 2027 / 2024</t>
        </is>
      </c>
      <c r="C20" s="5" t="inlineStr">
        <is>
          <t>12. Evaluación curricular</t>
        </is>
      </c>
      <c r="D20" s="6" t="inlineStr">
        <is>
          <t>12.2.5</t>
        </is>
      </c>
      <c r="E20" s="6" t="inlineStr">
        <is>
          <t>Texto</t>
        </is>
      </c>
      <c r="F20" s="5" t="inlineStr">
        <is>
          <r>
            <rPr>
              <rFont val="Century Gothic"/>
              <sz val="9"/>
            </rPr>
            <t xml:space="preserve">…de 2020 a 2025 para contar con una línea base antes de iniciar el </t>
          </r>
          <r>
            <rPr>
              <rFont val="Century Gothic"/>
              <b val="1"/>
              <sz val="9"/>
            </rPr>
            <t>Plan 2027</t>
          </r>
          <r>
            <rPr>
              <rFont val="Century Gothic"/>
              <sz val="9"/>
            </rPr>
            <t>.…</t>
          </r>
        </is>
      </c>
      <c r="G20" s="5" t="inlineStr">
        <is>
          <t>Rediseño Curricular (o «el presente rediseño»)</t>
        </is>
      </c>
      <c r="H20" s="8" t="inlineStr">
        <is>
          <t>Pendiente</t>
        </is>
      </c>
    </row>
    <row r="21">
      <c r="A21" s="6" t="n">
        <v>17</v>
      </c>
      <c r="B21" s="5" t="inlineStr">
        <is>
          <t>Plan de Estudios 2027 / 2024</t>
        </is>
      </c>
      <c r="C21" s="5" t="inlineStr">
        <is>
          <t>13. Reglamentación</t>
        </is>
      </c>
      <c r="D21" s="6" t="inlineStr">
        <is>
          <t>13</t>
        </is>
      </c>
      <c r="E21" s="6" t="inlineStr">
        <is>
          <t>Texto</t>
        </is>
      </c>
      <c r="F21" s="5" t="inlineStr">
        <is>
          <r>
            <rPr>
              <rFont val="Century Gothic"/>
              <sz val="9"/>
            </rPr>
            <t xml:space="preserve">…Este punto identifica la normativa universitaria que rige el </t>
          </r>
          <r>
            <rPr>
              <rFont val="Century Gothic"/>
              <b val="1"/>
              <sz val="9"/>
            </rPr>
            <t>Plan de Estudios 2027</t>
          </r>
          <r>
            <rPr>
              <rFont val="Century Gothic"/>
              <sz val="9"/>
            </rPr>
            <t>, establece los reglamentos internos que la Carrera debe mantener,…</t>
          </r>
        </is>
      </c>
      <c r="G21" s="5" t="inlineStr">
        <is>
          <t>Rediseño Curricular (o «el presente rediseño»)</t>
        </is>
      </c>
      <c r="H21" s="8" t="inlineStr">
        <is>
          <t>Pendiente</t>
        </is>
      </c>
    </row>
    <row r="22">
      <c r="A22" s="6" t="n">
        <v>18</v>
      </c>
      <c r="B22" s="5" t="inlineStr">
        <is>
          <t>Plan de Estudios 2027 / 2024</t>
        </is>
      </c>
      <c r="C22" s="5" t="inlineStr">
        <is>
          <t>13. Reglamentación</t>
        </is>
      </c>
      <c r="D22" s="6" t="inlineStr">
        <is>
          <t>13.1.1</t>
        </is>
      </c>
      <c r="E22" s="6" t="inlineStr">
        <is>
          <t>Texto</t>
        </is>
      </c>
      <c r="F22" s="5" t="inlineStr">
        <is>
          <r>
            <rPr>
              <rFont val="Century Gothic"/>
              <sz val="9"/>
            </rPr>
            <t xml:space="preserve">…Cuadro 1. Normativa universitaria aplicable al </t>
          </r>
          <r>
            <rPr>
              <rFont val="Century Gothic"/>
              <b val="1"/>
              <sz val="9"/>
            </rPr>
            <t>Plan 2027</t>
          </r>
          <r>
            <rPr>
              <rFont val="Century Gothic"/>
              <sz val="9"/>
            </rPr>
            <t>…</t>
          </r>
        </is>
      </c>
      <c r="G22" s="5" t="inlineStr">
        <is>
          <t>Rediseño Curricular (o «el presente rediseño»)</t>
        </is>
      </c>
      <c r="H22" s="8" t="inlineStr">
        <is>
          <t>Pendiente</t>
        </is>
      </c>
    </row>
    <row r="23">
      <c r="A23" s="6" t="n">
        <v>19</v>
      </c>
      <c r="B23" s="5" t="inlineStr">
        <is>
          <t>Plan de Estudios 2027 / 2024</t>
        </is>
      </c>
      <c r="C23" s="5" t="inlineStr">
        <is>
          <t>13. Reglamentación</t>
        </is>
      </c>
      <c r="D23" s="6" t="inlineStr">
        <is>
          <t>13.1.1</t>
        </is>
      </c>
      <c r="E23" s="6" t="inlineStr">
        <is>
          <t>Texto</t>
        </is>
      </c>
      <c r="F23" s="5" t="inlineStr">
        <is>
          <r>
            <rPr>
              <rFont val="Century Gothic"/>
              <sz val="9"/>
            </rPr>
            <t xml:space="preserve">…Fuente: elaboración con base en la normativa citada en el </t>
          </r>
          <r>
            <rPr>
              <rFont val="Century Gothic"/>
              <b val="1"/>
              <sz val="9"/>
            </rPr>
            <t>Plan de Estudios 2024</t>
          </r>
          <r>
            <rPr>
              <rFont val="Century Gothic"/>
              <sz val="9"/>
            </rPr>
            <t>, el Diagnóstico 2026, los puntos 5 a 12 y las Resoluciones HCU N.º…</t>
          </r>
        </is>
      </c>
      <c r="G23" s="5" t="inlineStr">
        <is>
          <t>Rediseño Curricular (o «el presente rediseño»)</t>
        </is>
      </c>
      <c r="H23" s="8" t="inlineStr">
        <is>
          <t>Pendiente</t>
        </is>
      </c>
    </row>
    <row r="24">
      <c r="A24" s="6" t="n">
        <v>20</v>
      </c>
      <c r="B24" s="5" t="inlineStr">
        <is>
          <t>Plan de Estudios 2027 / 2024</t>
        </is>
      </c>
      <c r="C24" s="5" t="inlineStr">
        <is>
          <t>13. Reglamentación</t>
        </is>
      </c>
      <c r="D24" s="6" t="inlineStr">
        <is>
          <t>13.1.2</t>
        </is>
      </c>
      <c r="E24" s="6" t="inlineStr">
        <is>
          <t>Texto</t>
        </is>
      </c>
      <c r="F24" s="5" t="inlineStr">
        <is>
          <r>
            <rPr>
              <rFont val="Century Gothic"/>
              <sz val="9"/>
            </rPr>
            <t xml:space="preserve">…La implementación del </t>
          </r>
          <r>
            <rPr>
              <rFont val="Century Gothic"/>
              <b val="1"/>
              <sz val="9"/>
            </rPr>
            <t>Plan 2027</t>
          </r>
          <r>
            <rPr>
              <rFont val="Century Gothic"/>
              <sz val="9"/>
            </rPr>
            <t xml:space="preserve"> requiere actualizar los reglamentos internos vigentes y elaborar los…</t>
          </r>
        </is>
      </c>
      <c r="G24" s="5" t="inlineStr">
        <is>
          <t>Rediseño Curricular (o «el presente rediseño»)</t>
        </is>
      </c>
      <c r="H24" s="8" t="inlineStr">
        <is>
          <t>Pendiente</t>
        </is>
      </c>
    </row>
    <row r="25">
      <c r="A25" s="6" t="n">
        <v>21</v>
      </c>
      <c r="B25" s="5" t="inlineStr">
        <is>
          <t>Plan de Estudios 2027 / 2024</t>
        </is>
      </c>
      <c r="C25" s="5" t="inlineStr">
        <is>
          <t>13. Reglamentación</t>
        </is>
      </c>
      <c r="D25" s="6" t="inlineStr">
        <is>
          <t>13.1.2</t>
        </is>
      </c>
      <c r="E25" s="6" t="inlineStr">
        <is>
          <t>Texto</t>
        </is>
      </c>
      <c r="F25" s="5" t="inlineStr">
        <is>
          <r>
            <rPr>
              <rFont val="Century Gothic"/>
              <sz val="9"/>
            </rPr>
            <t xml:space="preserve">…Cuadro 2. Reglamentos internos para la implementación del </t>
          </r>
          <r>
            <rPr>
              <rFont val="Century Gothic"/>
              <b val="1"/>
              <sz val="9"/>
            </rPr>
            <t>Plan 2027</t>
          </r>
          <r>
            <rPr>
              <rFont val="Century Gothic"/>
              <sz val="9"/>
            </rPr>
            <t>…</t>
          </r>
        </is>
      </c>
      <c r="G25" s="5" t="inlineStr">
        <is>
          <t>Rediseño Curricular (o «el presente rediseño»)</t>
        </is>
      </c>
      <c r="H25" s="8" t="inlineStr">
        <is>
          <t>Pendiente</t>
        </is>
      </c>
    </row>
    <row r="26">
      <c r="A26" s="6" t="n">
        <v>22</v>
      </c>
      <c r="B26" s="5" t="inlineStr">
        <is>
          <t>Plan de Estudios 2027 / 2024</t>
        </is>
      </c>
      <c r="C26" s="5" t="inlineStr">
        <is>
          <t>13. Reglamentación</t>
        </is>
      </c>
      <c r="D26" s="6" t="inlineStr">
        <is>
          <t>13.1.3</t>
        </is>
      </c>
      <c r="E26" s="6" t="inlineStr">
        <is>
          <t>Texto</t>
        </is>
      </c>
      <c r="F26" s="5" t="inlineStr">
        <is>
          <r>
            <rPr>
              <rFont val="Century Gothic"/>
              <sz val="9"/>
            </rPr>
            <t xml:space="preserve">…60 días calendario, ocho semanas, en las carreras anualizadas. En el </t>
          </r>
          <r>
            <rPr>
              <rFont val="Century Gothic"/>
              <b val="1"/>
              <sz val="9"/>
            </rPr>
            <t>Plan 2027</t>
          </r>
          <r>
            <rPr>
              <rFont val="Century Gothic"/>
              <sz val="9"/>
            </rPr>
            <t>, el estudiante puede nivelar o adelantar hasta dos asignaturas por…</t>
          </r>
        </is>
      </c>
      <c r="G26" s="5" t="inlineStr">
        <is>
          <t>Rediseño Curricular (o «el presente rediseño»)</t>
        </is>
      </c>
      <c r="H26" s="8" t="inlineStr">
        <is>
          <t>Pendiente</t>
        </is>
      </c>
    </row>
    <row r="27">
      <c r="A27" s="6" t="n">
        <v>23</v>
      </c>
      <c r="B27" s="5" t="inlineStr">
        <is>
          <t>Plan de Estudios 2027 / 2024</t>
        </is>
      </c>
      <c r="C27" s="5" t="inlineStr">
        <is>
          <t>13. Reglamentación</t>
        </is>
      </c>
      <c r="D27" s="6" t="inlineStr">
        <is>
          <t>13.1.4</t>
        </is>
      </c>
      <c r="E27" s="6" t="inlineStr">
        <is>
          <t>Texto</t>
        </is>
      </c>
      <c r="F27" s="5" t="inlineStr">
        <is>
          <r>
            <rPr>
              <rFont val="Century Gothic"/>
              <sz val="9"/>
            </rPr>
            <t xml:space="preserve">…de estudios al estudiante que aprobó las 43 asignaturas del </t>
          </r>
          <r>
            <rPr>
              <rFont val="Century Gothic"/>
              <b val="1"/>
              <sz val="9"/>
            </rPr>
            <t>Plan de Estudios 2027</t>
          </r>
          <r>
            <rPr>
              <rFont val="Century Gothic"/>
              <sz val="9"/>
            </rPr>
            <t>, previa verificación de los requisitos. El certificado no acredita…</t>
          </r>
        </is>
      </c>
      <c r="G27" s="5" t="inlineStr">
        <is>
          <t>Rediseño Curricular (o «el presente rediseño»)</t>
        </is>
      </c>
      <c r="H27" s="8" t="inlineStr">
        <is>
          <t>Pendiente</t>
        </is>
      </c>
    </row>
    <row r="28">
      <c r="A28" s="6" t="n">
        <v>24</v>
      </c>
      <c r="B28" s="5" t="inlineStr">
        <is>
          <t>Plan de Estudios 2027 / 2024</t>
        </is>
      </c>
      <c r="C28" s="5" t="inlineStr">
        <is>
          <t>13. Reglamentación</t>
        </is>
      </c>
      <c r="D28" s="6" t="inlineStr">
        <is>
          <t>13.2.2</t>
        </is>
      </c>
      <c r="E28" s="6" t="inlineStr">
        <is>
          <t>Texto</t>
        </is>
      </c>
      <c r="F28" s="5" t="inlineStr">
        <is>
          <r>
            <rPr>
              <rFont val="Century Gothic"/>
              <sz val="9"/>
            </rPr>
            <t xml:space="preserve">…interno del Instituto se actualizará para articularlo con el </t>
          </r>
          <r>
            <rPr>
              <rFont val="Century Gothic"/>
              <b val="1"/>
              <sz val="9"/>
            </rPr>
            <t>Plan 2027</t>
          </r>
          <r>
            <rPr>
              <rFont val="Century Gothic"/>
              <sz val="9"/>
            </rPr>
            <t xml:space="preserve"> con base en los siguientes lineamientos:…</t>
          </r>
        </is>
      </c>
      <c r="G28" s="5" t="inlineStr">
        <is>
          <t>Rediseño Curricular (o «el presente rediseño»)</t>
        </is>
      </c>
      <c r="H28" s="8" t="inlineStr">
        <is>
          <t>Pendiente</t>
        </is>
      </c>
    </row>
    <row r="29">
      <c r="A29" s="6" t="n">
        <v>25</v>
      </c>
      <c r="B29" s="5" t="inlineStr">
        <is>
          <t>Plan de Estudios 2027 / 2024</t>
        </is>
      </c>
      <c r="C29" s="5" t="inlineStr">
        <is>
          <t>14. Infraestructura y equipamiento</t>
        </is>
      </c>
      <c r="D29" s="6" t="inlineStr">
        <is>
          <t>14.4</t>
        </is>
      </c>
      <c r="E29" s="6" t="inlineStr">
        <is>
          <t>Texto</t>
        </is>
      </c>
      <c r="F29" s="5" t="inlineStr">
        <is>
          <r>
            <rPr>
              <rFont val="Century Gothic"/>
              <sz val="9"/>
            </rPr>
            <t xml:space="preserve">…Fuente: </t>
          </r>
          <r>
            <rPr>
              <rFont val="Century Gothic"/>
              <b val="1"/>
              <sz val="9"/>
            </rPr>
            <t>Plan de Estudios 2024</t>
          </r>
          <r>
            <rPr>
              <rFont val="Century Gothic"/>
              <sz val="9"/>
            </rPr>
            <t>.…</t>
          </r>
        </is>
      </c>
      <c r="G29" s="5" t="inlineStr">
        <is>
          <t>Rediseño Curricular (o «el presente rediseño»)</t>
        </is>
      </c>
      <c r="H29" s="8" t="inlineStr">
        <is>
          <t>Pendiente</t>
        </is>
      </c>
    </row>
    <row r="30">
      <c r="A30" s="6" t="n">
        <v>26</v>
      </c>
      <c r="B30" s="5" t="inlineStr">
        <is>
          <t>Plan de Estudios 2027 / 2024</t>
        </is>
      </c>
      <c r="C30" s="5" t="inlineStr">
        <is>
          <t>14. Infraestructura y equipamiento</t>
        </is>
      </c>
      <c r="D30" s="6" t="inlineStr">
        <is>
          <t>14.6</t>
        </is>
      </c>
      <c r="E30" s="6" t="inlineStr">
        <is>
          <t>Texto</t>
        </is>
      </c>
      <c r="F30" s="5" t="inlineStr">
        <is>
          <r>
            <rPr>
              <rFont val="Century Gothic"/>
              <sz val="9"/>
            </rPr>
            <t xml:space="preserve">…Fuente: </t>
          </r>
          <r>
            <rPr>
              <rFont val="Century Gothic"/>
              <b val="1"/>
              <sz val="9"/>
            </rPr>
            <t>Plan de Estudios 2024</t>
          </r>
          <r>
            <rPr>
              <rFont val="Century Gothic"/>
              <sz val="9"/>
            </rPr>
            <t>. Todos los ambientes son de uso exclusivo de la Carrera.…</t>
          </r>
        </is>
      </c>
      <c r="G30" s="5" t="inlineStr">
        <is>
          <t>Rediseño Curricular (o «el presente rediseño»)</t>
        </is>
      </c>
      <c r="H30" s="8" t="inlineStr">
        <is>
          <t>Pendiente</t>
        </is>
      </c>
    </row>
    <row r="31">
      <c r="A31" s="6" t="n">
        <v>27</v>
      </c>
      <c r="B31" s="5" t="inlineStr">
        <is>
          <t>Plan de Estudios 2027 / 2024</t>
        </is>
      </c>
      <c r="C31" s="5" t="inlineStr">
        <is>
          <t>16. Disposiciones de ejecución</t>
        </is>
      </c>
      <c r="D31" s="6" t="inlineStr">
        <is>
          <t>16</t>
        </is>
      </c>
      <c r="E31" s="6" t="inlineStr">
        <is>
          <t>Texto</t>
        </is>
      </c>
      <c r="F31" s="5" t="inlineStr">
        <is>
          <r>
            <rPr>
              <rFont val="Century Gothic"/>
              <sz val="9"/>
            </rPr>
            <t xml:space="preserve">…HCC N.º 162/2012, HCF N.º 929/2012 y HCU N.º 025/2013, al </t>
          </r>
          <r>
            <rPr>
              <rFont val="Century Gothic"/>
              <b val="1"/>
              <sz val="9"/>
            </rPr>
            <t>Plan de Estudios 2027</t>
          </r>
          <r>
            <rPr>
              <rFont val="Century Gothic"/>
              <sz val="9"/>
            </rPr>
            <t>: el cuadro de convalidación y homologación de asignaturas para…</t>
          </r>
        </is>
      </c>
      <c r="G31" s="5" t="inlineStr">
        <is>
          <t>Rediseño Curricular (o «el presente rediseño»)</t>
        </is>
      </c>
      <c r="H31" s="8" t="inlineStr">
        <is>
          <t>Pendiente</t>
        </is>
      </c>
    </row>
    <row r="32">
      <c r="A32" s="6" t="n">
        <v>28</v>
      </c>
      <c r="B32" s="5" t="inlineStr">
        <is>
          <t>Plan de Estudios 2027 / 2024</t>
        </is>
      </c>
      <c r="C32" s="5" t="inlineStr">
        <is>
          <t>16. Disposiciones de ejecución</t>
        </is>
      </c>
      <c r="D32" s="6" t="inlineStr">
        <is>
          <t>16.1.1</t>
        </is>
      </c>
      <c r="E32" s="6" t="inlineStr">
        <is>
          <t>Texto</t>
        </is>
      </c>
      <c r="F32" s="5" t="inlineStr">
        <is>
          <r>
            <rPr>
              <rFont val="Century Gothic"/>
              <sz val="9"/>
            </rPr>
            <t xml:space="preserve">…aprobada en el Plan 2013 conserva su validez y se reconoce en el </t>
          </r>
          <r>
            <rPr>
              <rFont val="Century Gothic"/>
              <b val="1"/>
              <sz val="9"/>
            </rPr>
            <t>Plan 2027</t>
          </r>
          <r>
            <rPr>
              <rFont val="Century Gothic"/>
              <sz val="9"/>
            </rPr>
            <t xml:space="preserve"> mediante homologación o convalidación.…</t>
          </r>
        </is>
      </c>
      <c r="G32" s="5" t="inlineStr">
        <is>
          <t>Rediseño Curricular (o «el presente rediseño»)</t>
        </is>
      </c>
      <c r="H32" s="8" t="inlineStr">
        <is>
          <t>Pendiente</t>
        </is>
      </c>
    </row>
    <row r="33">
      <c r="A33" s="6" t="n">
        <v>29</v>
      </c>
      <c r="B33" s="5" t="inlineStr">
        <is>
          <t>Plan de Estudios 2027 / 2024</t>
        </is>
      </c>
      <c r="C33" s="5" t="inlineStr">
        <is>
          <t>16. Disposiciones de ejecución</t>
        </is>
      </c>
      <c r="D33" s="6" t="inlineStr">
        <is>
          <t>16.1.1</t>
        </is>
      </c>
      <c r="E33" s="6" t="inlineStr">
        <is>
          <t>Texto</t>
        </is>
      </c>
      <c r="F33" s="5" t="inlineStr">
        <is>
          <r>
            <rPr>
              <rFont val="Century Gothic"/>
              <sz val="9"/>
            </rPr>
            <t xml:space="preserve">…en el Plan 2013, con la asignación de la cátedra equivalente en el </t>
          </r>
          <r>
            <rPr>
              <rFont val="Century Gothic"/>
              <b val="1"/>
              <sz val="9"/>
            </rPr>
            <t>Plan 2027</t>
          </r>
          <r>
            <rPr>
              <rFont val="Century Gothic"/>
              <sz val="9"/>
            </rPr>
            <t>.…</t>
          </r>
        </is>
      </c>
      <c r="G33" s="5" t="inlineStr">
        <is>
          <t>Rediseño Curricular (o «el presente rediseño»)</t>
        </is>
      </c>
      <c r="H33" s="8" t="inlineStr">
        <is>
          <t>Pendiente</t>
        </is>
      </c>
    </row>
    <row r="34">
      <c r="A34" s="6" t="n">
        <v>30</v>
      </c>
      <c r="B34" s="5" t="inlineStr">
        <is>
          <t>Plan de Estudios 2027 / 2024</t>
        </is>
      </c>
      <c r="C34" s="5" t="inlineStr">
        <is>
          <t>16. Disposiciones de ejecución</t>
        </is>
      </c>
      <c r="D34" s="6" t="inlineStr">
        <is>
          <t>16.1.1</t>
        </is>
      </c>
      <c r="E34" s="6" t="inlineStr">
        <is>
          <t>Texto</t>
        </is>
      </c>
      <c r="F34" s="5" t="inlineStr">
        <is>
          <r>
            <rPr>
              <rFont val="Century Gothic"/>
              <sz val="9"/>
            </rPr>
            <t xml:space="preserve">…Implantación gradual. El </t>
          </r>
          <r>
            <rPr>
              <rFont val="Century Gothic"/>
              <b val="1"/>
              <sz val="9"/>
            </rPr>
            <t>Plan 2027</t>
          </r>
          <r>
            <rPr>
              <rFont val="Century Gothic"/>
              <sz val="9"/>
            </rPr>
            <t xml:space="preserve"> se aplica año por año desde 2027, y el Plan 2013 se extingue de…</t>
          </r>
        </is>
      </c>
      <c r="G34" s="5" t="inlineStr">
        <is>
          <t>Rediseño Curricular (o «el presente rediseño»)</t>
        </is>
      </c>
      <c r="H34" s="8" t="inlineStr">
        <is>
          <t>Pendiente</t>
        </is>
      </c>
    </row>
    <row r="35">
      <c r="A35" s="6" t="n">
        <v>31</v>
      </c>
      <c r="B35" s="5" t="inlineStr">
        <is>
          <t>Plan de Estudios 2027 / 2024</t>
        </is>
      </c>
      <c r="C35" s="5" t="inlineStr">
        <is>
          <t>16. Disposiciones de ejecución</t>
        </is>
      </c>
      <c r="D35" s="6" t="inlineStr">
        <is>
          <t>16.1.3</t>
        </is>
      </c>
      <c r="E35" s="6" t="inlineStr">
        <is>
          <t>Texto</t>
        </is>
      </c>
      <c r="F35" s="5" t="inlineStr">
        <is>
          <r>
            <rPr>
              <rFont val="Century Gothic"/>
              <sz val="9"/>
            </rPr>
            <t xml:space="preserve">…16.1.3Cuadro de equivalencias entre el Plan 2013 y el </t>
          </r>
          <r>
            <rPr>
              <rFont val="Century Gothic"/>
              <b val="1"/>
              <sz val="9"/>
            </rPr>
            <t>Plan 2027</t>
          </r>
          <r>
            <rPr>
              <rFont val="Century Gothic"/>
              <sz val="9"/>
            </rPr>
            <t>…</t>
          </r>
        </is>
      </c>
      <c r="G35" s="5" t="inlineStr">
        <is>
          <t>Rediseño Curricular (o «el presente rediseño»)</t>
        </is>
      </c>
      <c r="H35" s="8" t="inlineStr">
        <is>
          <t>Pendiente</t>
        </is>
      </c>
    </row>
    <row r="36">
      <c r="A36" s="6" t="n">
        <v>32</v>
      </c>
      <c r="B36" s="5" t="inlineStr">
        <is>
          <t>Plan de Estudios 2027 / 2024</t>
        </is>
      </c>
      <c r="C36" s="5" t="inlineStr">
        <is>
          <t>16. Disposiciones de ejecución</t>
        </is>
      </c>
      <c r="D36" s="6" t="inlineStr">
        <is>
          <t>16.1.3</t>
        </is>
      </c>
      <c r="E36" s="6" t="inlineStr">
        <is>
          <t>Texto</t>
        </is>
      </c>
      <c r="F36" s="5" t="inlineStr">
        <is>
          <r>
            <rPr>
              <rFont val="Century Gothic"/>
              <sz val="9"/>
            </rPr>
            <t xml:space="preserve">…Las 43 asignaturas del Plan 2013 tienen equivalente en el </t>
          </r>
          <r>
            <rPr>
              <rFont val="Century Gothic"/>
              <b val="1"/>
              <sz val="9"/>
            </rPr>
            <t>Plan 2027</t>
          </r>
          <r>
            <rPr>
              <rFont val="Century Gothic"/>
              <sz val="9"/>
            </rPr>
            <t>:…</t>
          </r>
        </is>
      </c>
      <c r="G36" s="5" t="inlineStr">
        <is>
          <t>Rediseño Curricular (o «el presente rediseño»)</t>
        </is>
      </c>
      <c r="H36" s="8" t="inlineStr">
        <is>
          <t>Pendiente</t>
        </is>
      </c>
    </row>
    <row r="37">
      <c r="A37" s="6" t="n">
        <v>33</v>
      </c>
      <c r="B37" s="5" t="inlineStr">
        <is>
          <t>Plan de Estudios 2027 / 2024</t>
        </is>
      </c>
      <c r="C37" s="5" t="inlineStr">
        <is>
          <t>16. Disposiciones de ejecución</t>
        </is>
      </c>
      <c r="D37" s="6" t="inlineStr">
        <is>
          <t>16.1.3</t>
        </is>
      </c>
      <c r="E37" s="6" t="inlineStr">
        <is>
          <t>Texto</t>
        </is>
      </c>
      <c r="F37" s="5" t="inlineStr">
        <is>
          <r>
            <rPr>
              <rFont val="Century Gothic"/>
              <sz val="9"/>
            </rPr>
            <t xml:space="preserve">…Cuadro 1. Equivalencias entre el Plan de Estudios 2013 y el </t>
          </r>
          <r>
            <rPr>
              <rFont val="Century Gothic"/>
              <b val="1"/>
              <sz val="9"/>
            </rPr>
            <t>Plan de Estudios 2027</t>
          </r>
          <r>
            <rPr>
              <rFont val="Century Gothic"/>
              <sz val="9"/>
            </rPr>
            <t>…</t>
          </r>
        </is>
      </c>
      <c r="G37" s="5" t="inlineStr">
        <is>
          <t>Rediseño Curricular (o «el presente rediseño»)</t>
        </is>
      </c>
      <c r="H37" s="8" t="inlineStr">
        <is>
          <t>Pendiente</t>
        </is>
      </c>
    </row>
    <row r="38">
      <c r="A38" s="6" t="n">
        <v>34</v>
      </c>
      <c r="B38" s="5" t="inlineStr">
        <is>
          <t>Plan de Estudios 2027 / 2024</t>
        </is>
      </c>
      <c r="C38" s="5" t="inlineStr">
        <is>
          <t>16. Disposiciones de ejecución</t>
        </is>
      </c>
      <c r="D38" s="6" t="inlineStr">
        <is>
          <t>16.1.3</t>
        </is>
      </c>
      <c r="E38" s="6" t="inlineStr">
        <is>
          <t>Cuadro 1</t>
        </is>
      </c>
      <c r="F38" s="5" t="inlineStr">
        <is>
          <r>
            <rPr>
              <rFont val="Century Gothic"/>
              <sz val="9"/>
            </rPr>
            <t xml:space="preserve">…Asignatura equivalente del </t>
          </r>
          <r>
            <rPr>
              <rFont val="Century Gothic"/>
              <b val="1"/>
              <sz val="9"/>
            </rPr>
            <t>Plan 2027</t>
          </r>
          <r>
            <rPr>
              <rFont val="Century Gothic"/>
              <sz val="9"/>
            </rPr>
            <t>…</t>
          </r>
        </is>
      </c>
      <c r="G38" s="5" t="inlineStr">
        <is>
          <t>Rediseño Curricular (o «el presente rediseño»)</t>
        </is>
      </c>
      <c r="H38" s="8" t="inlineStr">
        <is>
          <t>Pendiente</t>
        </is>
      </c>
    </row>
    <row r="39">
      <c r="A39" s="6" t="n">
        <v>35</v>
      </c>
      <c r="B39" s="5" t="inlineStr">
        <is>
          <t>Plan de Estudios 2027 / 2024</t>
        </is>
      </c>
      <c r="C39" s="5" t="inlineStr">
        <is>
          <t>16. Disposiciones de ejecución</t>
        </is>
      </c>
      <c r="D39" s="6" t="inlineStr">
        <is>
          <t>16.1.3</t>
        </is>
      </c>
      <c r="E39" s="6" t="inlineStr">
        <is>
          <t>Texto</t>
        </is>
      </c>
      <c r="F39" s="5" t="inlineStr">
        <is>
          <r>
            <rPr>
              <rFont val="Century Gothic"/>
              <sz val="9"/>
            </rPr>
            <t xml:space="preserve">…Fuente: elaboración con base en la </t>
          </r>
          <r>
            <rPr>
              <rFont val="Century Gothic"/>
              <b val="1"/>
              <sz val="9"/>
            </rPr>
            <t>malla curricular 2027</t>
          </r>
          <r>
            <rPr>
              <rFont val="Century Gothic"/>
              <sz val="9"/>
            </rPr>
            <t xml:space="preserve"> y en la propuesta de equivalencias de la Carrera.…</t>
          </r>
        </is>
      </c>
      <c r="G39" s="5" t="inlineStr">
        <is>
          <t>Rediseño Curricular (o «el presente rediseño»)</t>
        </is>
      </c>
      <c r="H39" s="8" t="inlineStr">
        <is>
          <t>Pendiente</t>
        </is>
      </c>
    </row>
    <row r="40">
      <c r="A40" s="6" t="n">
        <v>36</v>
      </c>
      <c r="B40" s="5" t="inlineStr">
        <is>
          <t>Plan de Estudios 2027 / 2024</t>
        </is>
      </c>
      <c r="C40" s="5" t="inlineStr">
        <is>
          <t>16. Disposiciones de ejecución</t>
        </is>
      </c>
      <c r="D40" s="6" t="inlineStr">
        <is>
          <t>16.1.3</t>
        </is>
      </c>
      <c r="E40" s="6" t="inlineStr">
        <is>
          <t>Texto</t>
        </is>
      </c>
      <c r="F40" s="5" t="inlineStr">
        <is>
          <r>
            <rPr>
              <rFont val="Century Gothic"/>
              <sz val="9"/>
            </rPr>
            <t xml:space="preserve">…de sus contenidos: CPA-102, CPA-305, CPA-505, CPA-506 y MAT-201 del </t>
          </r>
          <r>
            <rPr>
              <rFont val="Century Gothic"/>
              <b val="1"/>
              <sz val="9"/>
            </rPr>
            <t>Plan 2027</t>
          </r>
          <r>
            <rPr>
              <rFont val="Century Gothic"/>
              <sz val="9"/>
            </rPr>
            <t>.…</t>
          </r>
        </is>
      </c>
      <c r="G40" s="5" t="inlineStr">
        <is>
          <t>Rediseño Curricular (o «el presente rediseño»)</t>
        </is>
      </c>
      <c r="H40" s="8" t="inlineStr">
        <is>
          <t>Pendiente</t>
        </is>
      </c>
    </row>
    <row r="41">
      <c r="A41" s="6" t="n">
        <v>37</v>
      </c>
      <c r="B41" s="5" t="inlineStr">
        <is>
          <t>Plan de Estudios 2027 / 2024</t>
        </is>
      </c>
      <c r="C41" s="5" t="inlineStr">
        <is>
          <t>16. Disposiciones de ejecución</t>
        </is>
      </c>
      <c r="D41" s="6" t="inlineStr">
        <is>
          <t>16.1.4</t>
        </is>
      </c>
      <c r="E41" s="6" t="inlineStr">
        <is>
          <t>Texto</t>
        </is>
      </c>
      <c r="F41" s="5" t="inlineStr">
        <is>
          <r>
            <rPr>
              <rFont val="Century Gothic"/>
              <sz val="9"/>
            </rPr>
            <t xml:space="preserve">…El estudiante del Plan 2013 puede migrar voluntariamente al </t>
          </r>
          <r>
            <rPr>
              <rFont val="Century Gothic"/>
              <b val="1"/>
              <sz val="9"/>
            </rPr>
            <t>Plan 2027</t>
          </r>
          <r>
            <rPr>
              <rFont val="Century Gothic"/>
              <sz val="9"/>
            </rPr>
            <t xml:space="preserve"> en cualquier momento de la transición, con el reconocimiento de…</t>
          </r>
        </is>
      </c>
      <c r="G41" s="5" t="inlineStr">
        <is>
          <t>Rediseño Curricular (o «el presente rediseño»)</t>
        </is>
      </c>
      <c r="H41" s="8" t="inlineStr">
        <is>
          <t>Pendiente</t>
        </is>
      </c>
    </row>
    <row r="42">
      <c r="A42" s="6" t="n">
        <v>38</v>
      </c>
      <c r="B42" s="5" t="inlineStr">
        <is>
          <t>Plan de Estudios 2027 / 2024</t>
        </is>
      </c>
      <c r="C42" s="5" t="inlineStr">
        <is>
          <t>16. Disposiciones de ejecución</t>
        </is>
      </c>
      <c r="D42" s="6" t="inlineStr">
        <is>
          <t>16.1.4</t>
        </is>
      </c>
      <c r="E42" s="6" t="inlineStr">
        <is>
          <t>Texto</t>
        </is>
      </c>
      <c r="F42" s="5" t="inlineStr">
        <is>
          <r>
            <rPr>
              <rFont val="Century Gothic"/>
              <sz val="9"/>
            </rPr>
            <t xml:space="preserve">…fueron aprobadas; el estudiante que migra cursa las asignaturas del </t>
          </r>
          <r>
            <rPr>
              <rFont val="Century Gothic"/>
              <b val="1"/>
              <sz val="9"/>
            </rPr>
            <t>Plan 2027</t>
          </r>
          <r>
            <rPr>
              <rFont val="Century Gothic"/>
              <sz val="9"/>
            </rPr>
            <t xml:space="preserve"> que no tienen equivalente aprobado, con sujeción a sus…</t>
          </r>
        </is>
      </c>
      <c r="G42" s="5" t="inlineStr">
        <is>
          <t>Rediseño Curricular (o «el presente rediseño»)</t>
        </is>
      </c>
      <c r="H42" s="8" t="inlineStr">
        <is>
          <t>Pendiente</t>
        </is>
      </c>
    </row>
    <row r="43">
      <c r="A43" s="6" t="n">
        <v>39</v>
      </c>
      <c r="B43" s="5" t="inlineStr">
        <is>
          <t>Plan de Estudios 2027 / 2024</t>
        </is>
      </c>
      <c r="C43" s="5" t="inlineStr">
        <is>
          <t>16. Disposiciones de ejecución</t>
        </is>
      </c>
      <c r="D43" s="6" t="inlineStr">
        <is>
          <t>16.1.4</t>
        </is>
      </c>
      <c r="E43" s="6" t="inlineStr">
        <is>
          <t>Texto</t>
        </is>
      </c>
      <c r="F43" s="5" t="inlineStr">
        <is>
          <r>
            <rPr>
              <rFont val="Century Gothic"/>
              <sz val="9"/>
            </rPr>
            <t xml:space="preserve">…titulares conservan su cátedra en la asignatura equivalente del </t>
          </r>
          <r>
            <rPr>
              <rFont val="Century Gothic"/>
              <b val="1"/>
              <sz val="9"/>
            </rPr>
            <t>Plan 2027</t>
          </r>
          <r>
            <rPr>
              <rFont val="Century Gothic"/>
              <sz val="9"/>
            </rPr>
            <t>. Cuando la carga horaria de la asignatura disminuye, la diferencia…</t>
          </r>
        </is>
      </c>
      <c r="G43" s="5" t="inlineStr">
        <is>
          <t>Rediseño Curricular (o «el presente rediseño»)</t>
        </is>
      </c>
      <c r="H43" s="8" t="inlineStr">
        <is>
          <t>Pendiente</t>
        </is>
      </c>
    </row>
    <row r="44">
      <c r="A44" s="6" t="n">
        <v>40</v>
      </c>
      <c r="B44" s="5" t="inlineStr">
        <is>
          <t>Plan de Estudios 2027 / 2024</t>
        </is>
      </c>
      <c r="C44" s="5" t="inlineStr">
        <is>
          <t>16. Disposiciones de ejecución</t>
        </is>
      </c>
      <c r="D44" s="6" t="inlineStr">
        <is>
          <t>16.2</t>
        </is>
      </c>
      <c r="E44" s="6" t="inlineStr">
        <is>
          <t>Texto</t>
        </is>
      </c>
      <c r="F44" s="5" t="inlineStr">
        <is>
          <r>
            <rPr>
              <rFont val="Century Gothic"/>
              <sz val="9"/>
            </rPr>
            <t xml:space="preserve">…Cuadro 2. Cronograma de implementación del </t>
          </r>
          <r>
            <rPr>
              <rFont val="Century Gothic"/>
              <b val="1"/>
              <sz val="9"/>
            </rPr>
            <t>Plan 2027</t>
          </r>
          <r>
            <rPr>
              <rFont val="Century Gothic"/>
              <sz val="9"/>
            </rPr>
            <t>…</t>
          </r>
        </is>
      </c>
      <c r="G44" s="5" t="inlineStr">
        <is>
          <t>Rediseño Curricular (o «el presente rediseño»)</t>
        </is>
      </c>
      <c r="H44" s="8" t="inlineStr">
        <is>
          <t>Pendiente</t>
        </is>
      </c>
    </row>
    <row r="45">
      <c r="A45" s="6" t="n">
        <v>41</v>
      </c>
      <c r="B45" s="5" t="inlineStr">
        <is>
          <t>Plan de Estudios 2027 / 2024</t>
        </is>
      </c>
      <c r="C45" s="5" t="inlineStr">
        <is>
          <t>16. Disposiciones de ejecución</t>
        </is>
      </c>
      <c r="D45" s="6" t="inlineStr">
        <is>
          <t>16.2</t>
        </is>
      </c>
      <c r="E45" s="6" t="inlineStr">
        <is>
          <t>Cuadro 2</t>
        </is>
      </c>
      <c r="F45" s="5" t="inlineStr">
        <is>
          <r>
            <rPr>
              <rFont val="Century Gothic"/>
              <b val="1"/>
              <sz val="9"/>
            </rPr>
            <t>Plan de Estudios 2027</t>
          </r>
          <r>
            <rPr>
              <rFont val="Century Gothic"/>
              <sz val="9"/>
            </rPr>
            <t>…</t>
          </r>
        </is>
      </c>
      <c r="G45" s="5" t="inlineStr">
        <is>
          <t>Rediseño Curricular (o «el presente rediseño»)</t>
        </is>
      </c>
      <c r="H45" s="8" t="inlineStr">
        <is>
          <t>Pendiente</t>
        </is>
      </c>
    </row>
    <row r="46">
      <c r="A46" s="6" t="n">
        <v>42</v>
      </c>
      <c r="B46" s="5" t="inlineStr">
        <is>
          <t>Plan de Estudios 2027 / 2024</t>
        </is>
      </c>
      <c r="C46" s="5" t="inlineStr">
        <is>
          <t>16. Disposiciones de ejecución</t>
        </is>
      </c>
      <c r="D46" s="6" t="inlineStr">
        <is>
          <t>16.2</t>
        </is>
      </c>
      <c r="E46" s="6" t="inlineStr">
        <is>
          <t>Texto</t>
        </is>
      </c>
      <c r="F46" s="5" t="inlineStr">
        <is>
          <r>
            <rPr>
              <rFont val="Century Gothic"/>
              <sz val="9"/>
            </rPr>
            <t xml:space="preserve">…de Cómputo y las jefaturas de área. Antes de iniciar cada año del </t>
          </r>
          <r>
            <rPr>
              <rFont val="Century Gothic"/>
              <b val="1"/>
              <sz val="9"/>
            </rPr>
            <t>Plan 2027</t>
          </r>
          <r>
            <rPr>
              <rFont val="Century Gothic"/>
              <sz val="9"/>
            </rPr>
            <t>, el Honorable Consejo de Carrera aprueba los planes de asignatura de…</t>
          </r>
        </is>
      </c>
      <c r="G46" s="5" t="inlineStr">
        <is>
          <t>Rediseño Curricular (o «el presente rediseño»)</t>
        </is>
      </c>
      <c r="H46" s="8" t="inlineStr">
        <is>
          <t>Pendiente</t>
        </is>
      </c>
    </row>
    <row r="47">
      <c r="A47" s="6" t="n">
        <v>43</v>
      </c>
      <c r="B47" s="5" t="inlineStr">
        <is>
          <t>Plan de Estudios 2027 / 2024</t>
        </is>
      </c>
      <c r="C47" s="5" t="inlineStr">
        <is>
          <t>16. Disposiciones de ejecución</t>
        </is>
      </c>
      <c r="D47" s="6" t="inlineStr">
        <is>
          <t>16.3</t>
        </is>
      </c>
      <c r="E47" s="6" t="inlineStr">
        <is>
          <t>Texto</t>
        </is>
      </c>
      <c r="F47" s="5" t="inlineStr">
        <is>
          <r>
            <rPr>
              <rFont val="Century Gothic"/>
              <sz val="9"/>
            </rPr>
            <t xml:space="preserve">…Cada año del Plan 2013 se extingue cuando el año equivalente del </t>
          </r>
          <r>
            <rPr>
              <rFont val="Century Gothic"/>
              <b val="1"/>
              <sz val="9"/>
            </rPr>
            <t>Plan 2027</t>
          </r>
          <r>
            <rPr>
              <rFont val="Century Gothic"/>
              <sz val="9"/>
            </rPr>
            <t xml:space="preserve"> ya está en funcionamiento, según el Cuadro 2, de modo que el…</t>
          </r>
        </is>
      </c>
      <c r="G47" s="5" t="inlineStr">
        <is>
          <t>Rediseño Curricular (o «el presente rediseño»)</t>
        </is>
      </c>
      <c r="H47" s="8" t="inlineStr">
        <is>
          <t>Pendiente</t>
        </is>
      </c>
    </row>
    <row r="48">
      <c r="A48" s="6" t="n">
        <v>44</v>
      </c>
      <c r="B48" s="5" t="inlineStr">
        <is>
          <t>Plan de Estudios 2027 / 2024</t>
        </is>
      </c>
      <c r="C48" s="5" t="inlineStr">
        <is>
          <t>16. Disposiciones de ejecución</t>
        </is>
      </c>
      <c r="D48" s="6" t="inlineStr">
        <is>
          <t>16.3</t>
        </is>
      </c>
      <c r="E48" s="6" t="inlineStr">
        <is>
          <t>Texto</t>
        </is>
      </c>
      <c r="F48" s="5" t="inlineStr">
        <is>
          <r>
            <rPr>
              <rFont val="Century Gothic"/>
              <sz val="9"/>
            </rPr>
            <t xml:space="preserve">…después de su extinción la cursa en la asignatura equivalente del </t>
          </r>
          <r>
            <rPr>
              <rFont val="Century Gothic"/>
              <b val="1"/>
              <sz val="9"/>
            </rPr>
            <t>Plan 2027</t>
          </r>
          <r>
            <rPr>
              <rFont val="Century Gothic"/>
              <sz val="9"/>
            </rPr>
            <t>, con reconocimiento en su historial académico.…</t>
          </r>
        </is>
      </c>
      <c r="G48" s="5" t="inlineStr">
        <is>
          <t>Rediseño Curricular (o «el presente rediseño»)</t>
        </is>
      </c>
      <c r="H48" s="8" t="inlineStr">
        <is>
          <t>Pendiente</t>
        </is>
      </c>
    </row>
    <row r="49">
      <c r="A49" s="6" t="n">
        <v>45</v>
      </c>
      <c r="B49" s="5" t="inlineStr">
        <is>
          <t>Plan de Estudios 2027 / 2024</t>
        </is>
      </c>
      <c r="C49" s="5" t="inlineStr">
        <is>
          <t>16. Disposiciones de ejecución</t>
        </is>
      </c>
      <c r="D49" s="6" t="inlineStr">
        <is>
          <t>16.3</t>
        </is>
      </c>
      <c r="E49" s="6" t="inlineStr">
        <is>
          <t>Texto</t>
        </is>
      </c>
      <c r="F49" s="5" t="inlineStr">
        <is>
          <r>
            <rPr>
              <rFont val="Century Gothic"/>
              <sz val="9"/>
            </rPr>
            <t xml:space="preserve">…ese plan. Vencido el plazo, se gradúa mediante las modalidades del </t>
          </r>
          <r>
            <rPr>
              <rFont val="Century Gothic"/>
              <b val="1"/>
              <sz val="9"/>
            </rPr>
            <t>Plan 2027</t>
          </r>
          <r>
            <rPr>
              <rFont val="Century Gothic"/>
              <sz val="9"/>
            </rPr>
            <t xml:space="preserve"> o el PETAENG, conforme al punto 13.1.4.…</t>
          </r>
        </is>
      </c>
      <c r="G49" s="5" t="inlineStr">
        <is>
          <t>Rediseño Curricular (o «el presente rediseño»)</t>
        </is>
      </c>
      <c r="H49" s="8" t="inlineStr">
        <is>
          <t>Pendiente</t>
        </is>
      </c>
    </row>
    <row r="50">
      <c r="A50" s="6" t="n">
        <v>46</v>
      </c>
      <c r="B50" s="5" t="inlineStr">
        <is>
          <t>Troncal</t>
        </is>
      </c>
      <c r="C50" s="5" t="inlineStr">
        <is>
          <t>2. Antecedentes</t>
        </is>
      </c>
      <c r="D50" s="6" t="inlineStr">
        <is>
          <t>2.7.1</t>
        </is>
      </c>
      <c r="E50" s="6" t="inlineStr">
        <is>
          <t>Texto</t>
        </is>
      </c>
      <c r="F50" s="5" t="inlineStr">
        <is>
          <r>
            <rPr>
              <rFont val="Century Gothic"/>
              <sz val="9"/>
            </rPr>
            <t xml:space="preserve">…Las áreas </t>
          </r>
          <r>
            <rPr>
              <rFont val="Century Gothic"/>
              <b val="1"/>
              <sz val="9"/>
            </rPr>
            <t>troncales</t>
          </r>
          <r>
            <rPr>
              <rFont val="Century Gothic"/>
              <sz val="9"/>
            </rPr>
            <t xml:space="preserve"> concentran 73 cargas horarias y las áreas contextuales 35, lo que…</t>
          </r>
        </is>
      </c>
      <c r="G50" s="5" t="inlineStr">
        <is>
          <t>Área Contable y de Auditoría</t>
        </is>
      </c>
      <c r="H50" s="8" t="inlineStr">
        <is>
          <t>Pendiente</t>
        </is>
      </c>
    </row>
    <row r="51">
      <c r="A51" s="6" t="n">
        <v>47</v>
      </c>
      <c r="B51" s="5" t="inlineStr">
        <is>
          <t>Troncal</t>
        </is>
      </c>
      <c r="C51" s="5" t="inlineStr">
        <is>
          <t>2. Antecedentes</t>
        </is>
      </c>
      <c r="D51" s="6" t="inlineStr">
        <is>
          <t>2.7.1</t>
        </is>
      </c>
      <c r="E51" s="6" t="inlineStr">
        <is>
          <t>Texto</t>
        </is>
      </c>
      <c r="F51" s="5" t="inlineStr">
        <is>
          <r>
            <rPr>
              <rFont val="Century Gothic"/>
              <sz val="9"/>
            </rPr>
            <t xml:space="preserve">…académico por gestión. Estas auxiliaturas priorizan las asignaturas </t>
          </r>
          <r>
            <rPr>
              <rFont val="Century Gothic"/>
              <b val="1"/>
              <sz val="9"/>
            </rPr>
            <t>troncales</t>
          </r>
          <r>
            <rPr>
              <rFont val="Century Gothic"/>
              <sz val="9"/>
            </rPr>
            <t>; sin embargo, es necesario ampliar su cobertura a más asignaturas…</t>
          </r>
        </is>
      </c>
      <c r="G51" s="5" t="inlineStr">
        <is>
          <t>Área Contable y de Auditoría</t>
        </is>
      </c>
      <c r="H51" s="8" t="inlineStr">
        <is>
          <t>Pendiente</t>
        </is>
      </c>
    </row>
    <row r="52">
      <c r="A52" s="6" t="n">
        <v>48</v>
      </c>
      <c r="B52" s="5" t="inlineStr">
        <is>
          <t>Troncal</t>
        </is>
      </c>
      <c r="C52" s="5" t="inlineStr">
        <is>
          <t>3. Justificación de la innovación curricular</t>
        </is>
      </c>
      <c r="D52" s="6" t="inlineStr">
        <is>
          <t>3.1.1</t>
        </is>
      </c>
      <c r="E52" s="6" t="inlineStr">
        <is>
          <t>Texto</t>
        </is>
      </c>
      <c r="F52" s="5" t="inlineStr">
        <is>
          <r>
            <rPr>
              <rFont val="Century Gothic"/>
              <sz val="9"/>
            </rPr>
            <t xml:space="preserve">…43 asignaturas y 6.000 horas académicas. De las asignaturas, 29 son </t>
          </r>
          <r>
            <rPr>
              <rFont val="Century Gothic"/>
              <b val="1"/>
              <sz val="9"/>
            </rPr>
            <t>troncales</t>
          </r>
          <r>
            <rPr>
              <rFont val="Century Gothic"/>
              <sz val="9"/>
            </rPr>
            <t>, el 67,44 %, en las áreas de Información Financiera y de Servicios…</t>
          </r>
        </is>
      </c>
      <c r="G52" s="5" t="inlineStr">
        <is>
          <t>Área Contable y de Auditoría</t>
        </is>
      </c>
      <c r="H52" s="8" t="inlineStr">
        <is>
          <t>Pendiente</t>
        </is>
      </c>
    </row>
    <row r="53">
      <c r="A53" s="6" t="n">
        <v>49</v>
      </c>
      <c r="B53" s="5" t="inlineStr">
        <is>
          <t>Troncal</t>
        </is>
      </c>
      <c r="C53" s="5" t="inlineStr">
        <is>
          <t>5. Admisión promoción y graduación</t>
        </is>
      </c>
      <c r="D53" s="6" t="inlineStr">
        <is>
          <t>5.3.3</t>
        </is>
      </c>
      <c r="E53" s="6" t="inlineStr">
        <is>
          <t>Texto</t>
        </is>
      </c>
      <c r="F53" s="5" t="inlineStr">
        <is>
          <r>
            <rPr>
              <rFont val="Century Gothic"/>
              <sz val="9"/>
            </rPr>
            <t xml:space="preserve">…Derecho, Economía y Matemáticas) y para las Asignaturas </t>
          </r>
          <r>
            <rPr>
              <rFont val="Century Gothic"/>
              <b val="1"/>
              <sz val="9"/>
            </rPr>
            <t>Troncales</t>
          </r>
          <r>
            <rPr>
              <rFont val="Century Gothic"/>
              <sz val="9"/>
            </rPr>
            <t xml:space="preserve"> con una carga horaria igual o menor a 80 horas anuales (CPA-102,…</t>
          </r>
        </is>
      </c>
      <c r="G53" s="5" t="inlineStr">
        <is>
          <t>Área Contable y de Auditoría</t>
        </is>
      </c>
      <c r="H53" s="8" t="inlineStr">
        <is>
          <t>Pendiente</t>
        </is>
      </c>
    </row>
    <row r="54">
      <c r="A54" s="6" t="n">
        <v>50</v>
      </c>
      <c r="B54" s="5" t="inlineStr">
        <is>
          <t>Troncal</t>
        </is>
      </c>
      <c r="C54" s="5" t="inlineStr">
        <is>
          <t>5. Admisión promoción y graduación</t>
        </is>
      </c>
      <c r="D54" s="6" t="inlineStr">
        <is>
          <t>5.3.3</t>
        </is>
      </c>
      <c r="E54" s="6" t="inlineStr">
        <is>
          <t>Texto</t>
        </is>
      </c>
      <c r="F54" s="5" t="inlineStr">
        <is>
          <r>
            <rPr>
              <rFont val="Century Gothic"/>
              <sz val="9"/>
            </rPr>
            <t xml:space="preserve">…Condición de Recuperación: Para asignaturas </t>
          </r>
          <r>
            <rPr>
              <rFont val="Century Gothic"/>
              <b val="1"/>
              <sz val="9"/>
            </rPr>
            <t>troncales</t>
          </r>
          <r>
            <rPr>
              <rFont val="Century Gothic"/>
              <sz val="9"/>
            </rPr>
            <t xml:space="preserve"> con carga horaria superior a 80 horas, el estudiante podrá acceder a…</t>
          </r>
        </is>
      </c>
      <c r="G54" s="5" t="inlineStr">
        <is>
          <t>Área Contable y de Auditoría</t>
        </is>
      </c>
      <c r="H54" s="8" t="inlineStr">
        <is>
          <t>Pendiente</t>
        </is>
      </c>
    </row>
    <row r="55">
      <c r="A55" s="6" t="n">
        <v>51</v>
      </c>
      <c r="B55" s="5" t="inlineStr">
        <is>
          <t>Troncal</t>
        </is>
      </c>
      <c r="C55" s="5" t="inlineStr">
        <is>
          <t>5. Admisión promoción y graduación</t>
        </is>
      </c>
      <c r="D55" s="6" t="inlineStr">
        <is>
          <t>5.3.5</t>
        </is>
      </c>
      <c r="E55" s="6" t="inlineStr">
        <is>
          <t>Texto</t>
        </is>
      </c>
      <c r="F55" s="5" t="inlineStr">
        <is>
          <r>
            <rPr>
              <rFont val="Century Gothic"/>
              <sz val="9"/>
            </rPr>
            <t xml:space="preserve">…El diagnóstico identifica cuellos de botella en las asignaturas </t>
          </r>
          <r>
            <rPr>
              <rFont val="Century Gothic"/>
              <b val="1"/>
              <sz val="9"/>
            </rPr>
            <t>troncales</t>
          </r>
          <r>
            <rPr>
              <rFont val="Century Gothic"/>
              <sz val="9"/>
            </rPr>
            <t xml:space="preserve"> de contabilidad, auditoría y tributación, un seguimiento reactivo…</t>
          </r>
        </is>
      </c>
      <c r="G55" s="5" t="inlineStr">
        <is>
          <t>Área Contable y de Auditoría</t>
        </is>
      </c>
      <c r="H55" s="8" t="inlineStr">
        <is>
          <t>Pendiente</t>
        </is>
      </c>
    </row>
    <row r="56">
      <c r="A56" s="6" t="n">
        <v>52</v>
      </c>
      <c r="B56" s="5" t="inlineStr">
        <is>
          <t>Troncal</t>
        </is>
      </c>
      <c r="C56" s="5" t="inlineStr">
        <is>
          <t>5. Admisión promoción y graduación</t>
        </is>
      </c>
      <c r="D56" s="6" t="inlineStr">
        <is>
          <t>5.4.2</t>
        </is>
      </c>
      <c r="E56" s="6" t="inlineStr">
        <is>
          <t>Texto</t>
        </is>
      </c>
      <c r="F56" s="5" t="inlineStr">
        <is>
          <r>
            <rPr>
              <rFont val="Century Gothic"/>
              <sz val="9"/>
            </rPr>
            <t xml:space="preserve">…tribunales de docentes de las asignaturas evaluadas. Las asignaturas </t>
          </r>
          <r>
            <rPr>
              <rFont val="Century Gothic"/>
              <b val="1"/>
              <sz val="9"/>
            </rPr>
            <t>troncales</t>
          </r>
          <r>
            <rPr>
              <rFont val="Century Gothic"/>
              <sz val="9"/>
            </rPr>
            <t xml:space="preserve"> se agrupan en tres ciclos, cada uno con un examen que se aprueba con…</t>
          </r>
        </is>
      </c>
      <c r="G56" s="5" t="inlineStr">
        <is>
          <t>Área Contable y de Auditoría</t>
        </is>
      </c>
      <c r="H56" s="8" t="inlineStr">
        <is>
          <t>Pendiente</t>
        </is>
      </c>
    </row>
    <row r="57">
      <c r="A57" s="6" t="n">
        <v>53</v>
      </c>
      <c r="B57" s="5" t="inlineStr">
        <is>
          <t>Troncal</t>
        </is>
      </c>
      <c r="C57" s="5" t="inlineStr">
        <is>
          <t>11. Implementación del proyecto curricular</t>
        </is>
      </c>
      <c r="D57" s="6" t="inlineStr">
        <is>
          <t>11.2.1</t>
        </is>
      </c>
      <c r="E57" s="6" t="inlineStr">
        <is>
          <t>Texto</t>
        </is>
      </c>
      <c r="F57" s="5" t="inlineStr">
        <is>
          <r>
            <rPr>
              <rFont val="Century Gothic"/>
              <sz val="9"/>
            </rPr>
            <t xml:space="preserve">…79 ítems de auxiliares de docencia, que priorizan las asignaturas </t>
          </r>
          <r>
            <rPr>
              <rFont val="Century Gothic"/>
              <b val="1"/>
              <sz val="9"/>
            </rPr>
            <t>troncales</t>
          </r>
          <r>
            <rPr>
              <rFont val="Century Gothic"/>
              <sz val="9"/>
            </rPr>
            <t>. El Instituto de Investigaciones dispone de 320 horas mensuales y su…</t>
          </r>
        </is>
      </c>
      <c r="G57" s="5" t="inlineStr">
        <is>
          <t>Área Contable y de Auditoría</t>
        </is>
      </c>
      <c r="H57" s="8" t="inlineStr">
        <is>
          <t>Pendiente</t>
        </is>
      </c>
    </row>
    <row r="58">
      <c r="A58" s="6" t="n">
        <v>54</v>
      </c>
      <c r="B58" s="5" t="inlineStr">
        <is>
          <t>Troncal</t>
        </is>
      </c>
      <c r="C58" s="5" t="inlineStr">
        <is>
          <t>13. Reglamentación</t>
        </is>
      </c>
      <c r="D58" s="6" t="inlineStr">
        <is>
          <t>13.1.3</t>
        </is>
      </c>
      <c r="E58" s="6" t="inlineStr">
        <is>
          <t>Texto</t>
        </is>
      </c>
      <c r="F58" s="5" t="inlineStr">
        <is>
          <r>
            <rPr>
              <rFont val="Century Gothic"/>
              <sz val="9"/>
            </rPr>
            <t xml:space="preserve">…por temporada; se habilitan las asignaturas contextuales y las </t>
          </r>
          <r>
            <rPr>
              <rFont val="Century Gothic"/>
              <b val="1"/>
              <sz val="9"/>
            </rPr>
            <t>troncales</t>
          </r>
          <r>
            <rPr>
              <rFont val="Century Gothic"/>
              <sz val="9"/>
            </rPr>
            <t xml:space="preserve"> de hasta 80 horas anuales, y las troncales de mayor carga solo…</t>
          </r>
        </is>
      </c>
      <c r="G58" s="5" t="inlineStr">
        <is>
          <t>Área Contable y de Auditoría</t>
        </is>
      </c>
      <c r="H58" s="8" t="inlineStr">
        <is>
          <t>Pendiente</t>
        </is>
      </c>
    </row>
    <row r="59">
      <c r="A59" s="6" t="n">
        <v>55</v>
      </c>
      <c r="B59" s="5" t="inlineStr">
        <is>
          <t>Troncal</t>
        </is>
      </c>
      <c r="C59" s="5" t="inlineStr">
        <is>
          <t>13. Reglamentación</t>
        </is>
      </c>
      <c r="D59" s="6" t="inlineStr">
        <is>
          <t>13.1.3</t>
        </is>
      </c>
      <c r="E59" s="6" t="inlineStr">
        <is>
          <t>Texto</t>
        </is>
      </c>
      <c r="F59" s="5" t="inlineStr">
        <is>
          <r>
            <rPr>
              <rFont val="Century Gothic"/>
              <sz val="9"/>
            </rPr>
            <t xml:space="preserve">…ras por temporada; se habilitan las asignaturas contextuales y las </t>
          </r>
          <r>
            <rPr>
              <rFont val="Century Gothic"/>
              <b val="1"/>
              <sz val="9"/>
            </rPr>
            <t>troncales</t>
          </r>
          <r>
            <rPr>
              <rFont val="Century Gothic"/>
              <sz val="9"/>
            </rPr>
            <t xml:space="preserve"> de hasta 80 horas anuales, y las troncales de mayor carga solo…</t>
          </r>
        </is>
      </c>
      <c r="G59" s="5" t="inlineStr">
        <is>
          <t>Área Contable y de Auditoría</t>
        </is>
      </c>
      <c r="H59" s="8" t="inlineStr">
        <is>
          <t>Pendiente</t>
        </is>
      </c>
    </row>
    <row r="60">
      <c r="A60" s="6" t="n">
        <v>56</v>
      </c>
      <c r="B60" s="5" t="inlineStr">
        <is>
          <t>Troncal</t>
        </is>
      </c>
      <c r="C60" s="5" t="inlineStr">
        <is>
          <t>13. Reglamentación</t>
        </is>
      </c>
      <c r="D60" s="6" t="inlineStr">
        <is>
          <t>13.1.4</t>
        </is>
      </c>
      <c r="E60" s="6" t="inlineStr">
        <is>
          <t>Texto</t>
        </is>
      </c>
      <c r="F60" s="5" t="inlineStr">
        <is>
          <r>
            <rPr>
              <rFont val="Century Gothic"/>
              <sz val="9"/>
            </rPr>
            <t xml:space="preserve">…Artículo 35. Ciclos. Las asignaturas </t>
          </r>
          <r>
            <rPr>
              <rFont val="Century Gothic"/>
              <b val="1"/>
              <sz val="9"/>
            </rPr>
            <t>troncales</t>
          </r>
          <r>
            <rPr>
              <rFont val="Century Gothic"/>
              <sz val="9"/>
            </rPr>
            <t xml:space="preserve"> se agrupan en tres ciclos, cada uno con un examen:…</t>
          </r>
        </is>
      </c>
      <c r="G60" s="5" t="inlineStr">
        <is>
          <t>Área Contable y de Auditoría</t>
        </is>
      </c>
      <c r="H60" s="8" t="inlineStr">
        <is>
          <t>Pendiente</t>
        </is>
      </c>
    </row>
    <row r="61">
      <c r="A61" s="6" t="n">
        <v>57</v>
      </c>
      <c r="B61" s="5" t="inlineStr">
        <is>
          <t>Contextual</t>
        </is>
      </c>
      <c r="C61" s="5" t="inlineStr">
        <is>
          <t>2. Antecedentes</t>
        </is>
      </c>
      <c r="D61" s="6" t="inlineStr">
        <is>
          <t>2.7.1</t>
        </is>
      </c>
      <c r="E61" s="6" t="inlineStr">
        <is>
          <t>Texto</t>
        </is>
      </c>
      <c r="F61" s="5" t="inlineStr">
        <is>
          <r>
            <rPr>
              <rFont val="Century Gothic"/>
              <sz val="9"/>
            </rPr>
            <t xml:space="preserve">…Las áreas troncales concentran 73 cargas horarias y las áreas </t>
          </r>
          <r>
            <rPr>
              <rFont val="Century Gothic"/>
              <b val="1"/>
              <sz val="9"/>
            </rPr>
            <t>contextuales</t>
          </r>
          <r>
            <rPr>
              <rFont val="Century Gothic"/>
              <sz val="9"/>
            </rPr>
            <t xml:space="preserve"> 35, lo que refleja la distribución de las asignaturas por áreas.…</t>
          </r>
        </is>
      </c>
      <c r="G61" s="5" t="inlineStr">
        <is>
          <t>Área Contextual</t>
        </is>
      </c>
      <c r="H61" s="8" t="inlineStr">
        <is>
          <t>Pendiente</t>
        </is>
      </c>
    </row>
    <row r="62">
      <c r="A62" s="6" t="n">
        <v>58</v>
      </c>
      <c r="B62" s="5" t="inlineStr">
        <is>
          <t>Contextual</t>
        </is>
      </c>
      <c r="C62" s="5" t="inlineStr">
        <is>
          <t>2. Antecedentes</t>
        </is>
      </c>
      <c r="D62" s="6" t="inlineStr">
        <is>
          <t>2.7.1</t>
        </is>
      </c>
      <c r="E62" s="6" t="inlineStr">
        <is>
          <t>Texto</t>
        </is>
      </c>
      <c r="F62" s="5" t="inlineStr">
        <is>
          <r>
            <rPr>
              <rFont val="Century Gothic"/>
              <sz val="9"/>
            </rPr>
            <t xml:space="preserve">…su cobertura a más asignaturas del área contable y de las áreas </t>
          </r>
          <r>
            <rPr>
              <rFont val="Century Gothic"/>
              <b val="1"/>
              <sz val="9"/>
            </rPr>
            <t>contextuales</t>
          </r>
          <r>
            <rPr>
              <rFont val="Century Gothic"/>
              <sz val="9"/>
            </rPr>
            <t xml:space="preserve"> de Economía, Administración y Derecho. Las solicitudes de incremento…</t>
          </r>
        </is>
      </c>
      <c r="G62" s="5" t="inlineStr">
        <is>
          <t>Área Contextual</t>
        </is>
      </c>
      <c r="H62" s="8" t="inlineStr">
        <is>
          <t>Pendiente</t>
        </is>
      </c>
    </row>
    <row r="63">
      <c r="A63" s="6" t="n">
        <v>59</v>
      </c>
      <c r="B63" s="5" t="inlineStr">
        <is>
          <t>Contextual</t>
        </is>
      </c>
      <c r="C63" s="5" t="inlineStr">
        <is>
          <t>3. Justificación de la innovación curricular</t>
        </is>
      </c>
      <c r="D63" s="6" t="inlineStr">
        <is>
          <t>3.1.1</t>
        </is>
      </c>
      <c r="E63" s="6" t="inlineStr">
        <is>
          <t>Texto</t>
        </is>
      </c>
      <c r="F63" s="5" t="inlineStr">
        <is>
          <r>
            <rPr>
              <rFont val="Century Gothic"/>
              <sz val="9"/>
            </rPr>
            <t xml:space="preserve">…Financiera y de Servicios de Atestación y No Atestación, y 14 son </t>
          </r>
          <r>
            <rPr>
              <rFont val="Century Gothic"/>
              <b val="1"/>
              <sz val="9"/>
            </rPr>
            <t>contextuales</t>
          </r>
          <r>
            <rPr>
              <rFont val="Century Gothic"/>
              <sz val="9"/>
            </rPr>
            <t>, el 32,56 %, en las áreas de Administración, Derecho, Economía y…</t>
          </r>
        </is>
      </c>
      <c r="G63" s="5" t="inlineStr">
        <is>
          <t>Área Contextual</t>
        </is>
      </c>
      <c r="H63" s="8" t="inlineStr">
        <is>
          <t>Pendiente</t>
        </is>
      </c>
    </row>
    <row r="64">
      <c r="A64" s="6" t="n">
        <v>60</v>
      </c>
      <c r="B64" s="5" t="inlineStr">
        <is>
          <t>Contextual</t>
        </is>
      </c>
      <c r="C64" s="5" t="inlineStr">
        <is>
          <t>3. Justificación de la innovación curricular</t>
        </is>
      </c>
      <c r="D64" s="6" t="inlineStr">
        <is>
          <t>3.1.1</t>
        </is>
      </c>
      <c r="E64" s="6" t="inlineStr">
        <is>
          <t>Texto</t>
        </is>
      </c>
      <c r="F64" s="5" t="inlineStr">
        <is>
          <r>
            <rPr>
              <rFont val="Century Gothic"/>
              <sz val="9"/>
            </rPr>
            <t xml:space="preserve">…La estructura muestra un rasgo que condiciona el rediseño: las áreas </t>
          </r>
          <r>
            <rPr>
              <rFont val="Century Gothic"/>
              <b val="1"/>
              <sz val="9"/>
            </rPr>
            <t>contextuales</t>
          </r>
          <r>
            <rPr>
              <rFont val="Century Gothic"/>
              <sz val="9"/>
            </rPr>
            <t xml:space="preserve"> se concentran en los tres primeros años y desaparecen en cuarto y…</t>
          </r>
        </is>
      </c>
      <c r="G64" s="5" t="inlineStr">
        <is>
          <t>Área Contextual</t>
        </is>
      </c>
      <c r="H64" s="8" t="inlineStr">
        <is>
          <t>Pendiente</t>
        </is>
      </c>
    </row>
    <row r="65">
      <c r="A65" s="6" t="n">
        <v>61</v>
      </c>
      <c r="B65" s="5" t="inlineStr">
        <is>
          <t>Contextual</t>
        </is>
      </c>
      <c r="C65" s="5" t="inlineStr">
        <is>
          <t>3. Justificación de la innovación curricular</t>
        </is>
      </c>
      <c r="D65" s="6" t="inlineStr">
        <is>
          <t>3.1.1</t>
        </is>
      </c>
      <c r="E65" s="6" t="inlineStr">
        <is>
          <t>Texto</t>
        </is>
      </c>
      <c r="F65" s="5" t="inlineStr">
        <is>
          <r>
            <rPr>
              <rFont val="Century Gothic"/>
              <sz val="9"/>
            </rPr>
            <t xml:space="preserve">…aplicarlos. El rediseño debe articular verticalmente las áreas </t>
          </r>
          <r>
            <rPr>
              <rFont val="Century Gothic"/>
              <b val="1"/>
              <sz val="9"/>
            </rPr>
            <t>contextuales</t>
          </r>
          <r>
            <rPr>
              <rFont val="Century Gothic"/>
              <sz val="9"/>
            </rPr>
            <t xml:space="preserve"> con los problemas contables, conforme al principio de…</t>
          </r>
        </is>
      </c>
      <c r="G65" s="5" t="inlineStr">
        <is>
          <t>Área Contextual</t>
        </is>
      </c>
      <c r="H65" s="8" t="inlineStr">
        <is>
          <t>Pendiente</t>
        </is>
      </c>
    </row>
    <row r="66">
      <c r="A66" s="6" t="n">
        <v>62</v>
      </c>
      <c r="B66" s="5" t="inlineStr">
        <is>
          <t>Contextual</t>
        </is>
      </c>
      <c r="C66" s="5" t="inlineStr">
        <is>
          <t>4.4 Estructura curricular</t>
        </is>
      </c>
      <c r="D66" s="6" t="inlineStr">
        <is>
          <t>4.4.1</t>
        </is>
      </c>
      <c r="E66" s="6" t="inlineStr">
        <is>
          <t>Texto</t>
        </is>
      </c>
      <c r="F66" s="5" t="inlineStr">
        <is>
          <r>
            <rPr>
              <rFont val="Century Gothic"/>
              <sz val="9"/>
            </rPr>
            <t xml:space="preserve">…y de auditoría, que forman el núcleo de la profesión, y el área </t>
          </r>
          <r>
            <rPr>
              <rFont val="Century Gothic"/>
              <b val="1"/>
              <sz val="9"/>
            </rPr>
            <t>contextual</t>
          </r>
          <r>
            <rPr>
              <rFont val="Century Gothic"/>
              <sz val="9"/>
            </rPr>
            <t>, que aportan el sustento multidisciplinario.…</t>
          </r>
        </is>
      </c>
      <c r="G66" s="5" t="inlineStr">
        <is>
          <t>Área Contextual</t>
        </is>
      </c>
      <c r="H66" s="8" t="inlineStr">
        <is>
          <t>Pendiente</t>
        </is>
      </c>
    </row>
    <row r="67">
      <c r="A67" s="6" t="n">
        <v>63</v>
      </c>
      <c r="B67" s="5" t="inlineStr">
        <is>
          <t>Contextual</t>
        </is>
      </c>
      <c r="C67" s="5" t="inlineStr">
        <is>
          <t>4.4 Estructura curricular</t>
        </is>
      </c>
      <c r="D67" s="6" t="inlineStr">
        <is>
          <t>4.4.1</t>
        </is>
      </c>
      <c r="E67" s="6" t="inlineStr">
        <is>
          <t>Texto</t>
        </is>
      </c>
      <c r="F67" s="5" t="inlineStr">
        <is>
          <r>
            <rPr>
              <rFont val="Century Gothic"/>
              <sz val="9"/>
            </rPr>
            <t xml:space="preserve">…Área </t>
          </r>
          <r>
            <rPr>
              <rFont val="Century Gothic"/>
              <b val="1"/>
              <sz val="9"/>
            </rPr>
            <t>contextual</t>
          </r>
          <r>
            <rPr>
              <rFont val="Century Gothic"/>
              <sz val="9"/>
            </rPr>
            <t>:…</t>
          </r>
        </is>
      </c>
      <c r="G67" s="5" t="inlineStr">
        <is>
          <t>Área Contextual</t>
        </is>
      </c>
      <c r="H67" s="8" t="inlineStr">
        <is>
          <t>Pendiente</t>
        </is>
      </c>
    </row>
    <row r="68">
      <c r="A68" s="6" t="n">
        <v>64</v>
      </c>
      <c r="B68" s="5" t="inlineStr">
        <is>
          <t>Contextual</t>
        </is>
      </c>
      <c r="C68" s="5" t="inlineStr">
        <is>
          <t>5. Admisión promoción y graduación</t>
        </is>
      </c>
      <c r="D68" s="6" t="inlineStr">
        <is>
          <t>5.3.3</t>
        </is>
      </c>
      <c r="E68" s="6" t="inlineStr">
        <is>
          <t>Texto</t>
        </is>
      </c>
      <c r="F68" s="5" t="inlineStr">
        <is>
          <r>
            <rPr>
              <rFont val="Century Gothic"/>
              <sz val="9"/>
            </rPr>
            <t xml:space="preserve">…por Áreas: Aplicable sin restricciones para todas las Asignaturas </t>
          </r>
          <r>
            <rPr>
              <rFont val="Century Gothic"/>
              <b val="1"/>
              <sz val="9"/>
            </rPr>
            <t>Contextuales</t>
          </r>
          <r>
            <rPr>
              <rFont val="Century Gothic"/>
              <sz val="9"/>
            </rPr>
            <t xml:space="preserve"> (14 materias de Administración, Derecho, Economía y Matemáticas) y…</t>
          </r>
        </is>
      </c>
      <c r="G68" s="5" t="inlineStr">
        <is>
          <t>Área Contextual</t>
        </is>
      </c>
      <c r="H68" s="8" t="inlineStr">
        <is>
          <t>Pendiente</t>
        </is>
      </c>
    </row>
    <row r="69">
      <c r="A69" s="6" t="n">
        <v>65</v>
      </c>
      <c r="B69" s="5" t="inlineStr">
        <is>
          <t>Contextual</t>
        </is>
      </c>
      <c r="C69" s="5" t="inlineStr">
        <is>
          <t>13. Reglamentación</t>
        </is>
      </c>
      <c r="D69" s="6" t="inlineStr">
        <is>
          <t>13.1.3</t>
        </is>
      </c>
      <c r="E69" s="6" t="inlineStr">
        <is>
          <t>Texto</t>
        </is>
      </c>
      <c r="F69" s="5" t="inlineStr">
        <is>
          <r>
            <rPr>
              <rFont val="Century Gothic"/>
              <sz val="9"/>
            </rPr>
            <t xml:space="preserve">…hasta dos asignaturas por temporada; se habilitan las asignaturas </t>
          </r>
          <r>
            <rPr>
              <rFont val="Century Gothic"/>
              <b val="1"/>
              <sz val="9"/>
            </rPr>
            <t>contextuales</t>
          </r>
          <r>
            <rPr>
              <rFont val="Century Gothic"/>
              <sz val="9"/>
            </rPr>
            <t xml:space="preserve"> y las troncales de hasta 80 horas anuales, y las troncales de mayor…</t>
          </r>
        </is>
      </c>
      <c r="G69" s="5" t="inlineStr">
        <is>
          <t>Área Contextual</t>
        </is>
      </c>
      <c r="H69" s="8" t="inlineStr">
        <is>
          <t>Pendiente</t>
        </is>
      </c>
    </row>
    <row r="70">
      <c r="A70" s="6" t="n">
        <v>66</v>
      </c>
      <c r="B70" s="5" t="inlineStr">
        <is>
          <t>Contador Público Autorizado</t>
        </is>
      </c>
      <c r="C70" s="5" t="inlineStr">
        <is>
          <t>4.1 Fundamentos curriculares</t>
        </is>
      </c>
      <c r="D70" s="6" t="inlineStr">
        <is>
          <t>4.1.1</t>
        </is>
      </c>
      <c r="E70" s="6" t="inlineStr">
        <is>
          <t>Texto</t>
        </is>
      </c>
      <c r="F70" s="5" t="inlineStr">
        <is>
          <r>
            <rPr>
              <rFont val="Century Gothic"/>
              <sz val="9"/>
            </rPr>
            <t xml:space="preserve">…y los seres humanos son unidades complejas multidimensionales. El </t>
          </r>
          <r>
            <rPr>
              <rFont val="Century Gothic"/>
              <b val="1"/>
              <sz val="9"/>
            </rPr>
            <t>Contador Público Autorizado</t>
          </r>
          <r>
            <rPr>
              <rFont val="Century Gothic"/>
              <sz val="9"/>
            </rPr>
            <t xml:space="preserve"> debe reconocer que la información contable no es únicamente…</t>
          </r>
        </is>
      </c>
      <c r="G70" s="5" t="inlineStr">
        <is>
          <t>Contador Público</t>
        </is>
      </c>
      <c r="H70" s="8" t="inlineStr">
        <is>
          <t>Pendiente</t>
        </is>
      </c>
    </row>
    <row r="71">
      <c r="A71" s="6" t="n">
        <v>67</v>
      </c>
      <c r="B71" s="5" t="inlineStr">
        <is>
          <t>Contador Público Autorizado</t>
        </is>
      </c>
      <c r="C71" s="5" t="inlineStr">
        <is>
          <t>4.1 Fundamentos curriculares</t>
        </is>
      </c>
      <c r="D71" s="6" t="inlineStr">
        <is>
          <t>4.1.1</t>
        </is>
      </c>
      <c r="E71" s="6" t="inlineStr">
        <is>
          <t>Texto</t>
        </is>
      </c>
      <c r="F71" s="5" t="inlineStr">
        <is>
          <r>
            <rPr>
              <rFont val="Century Gothic"/>
              <sz val="9"/>
            </rPr>
            <t xml:space="preserve">…la incertidumbre y constante evolución del mundo de los negocios, el </t>
          </r>
          <r>
            <rPr>
              <rFont val="Century Gothic"/>
              <b val="1"/>
              <sz val="9"/>
            </rPr>
            <t>Contador Público Autorizado</t>
          </r>
          <r>
            <rPr>
              <rFont val="Century Gothic"/>
              <sz val="9"/>
            </rPr>
            <t xml:space="preserve"> aplica su juicio crítico para unir la unidad con la multiplicidad en…</t>
          </r>
        </is>
      </c>
      <c r="G71" s="5" t="inlineStr">
        <is>
          <t>Contador Público</t>
        </is>
      </c>
      <c r="H71" s="8" t="inlineStr">
        <is>
          <t>Pendiente</t>
        </is>
      </c>
    </row>
    <row r="72">
      <c r="A72" s="6" t="n">
        <v>68</v>
      </c>
      <c r="B72" s="5" t="inlineStr">
        <is>
          <t>Contador Público Autorizado</t>
        </is>
      </c>
      <c r="C72" s="5" t="inlineStr">
        <is>
          <t>4.2 Referentes disciplinares</t>
        </is>
      </c>
      <c r="D72" s="6" t="inlineStr">
        <is>
          <t>4.2.6</t>
        </is>
      </c>
      <c r="E72" s="6" t="inlineStr">
        <is>
          <t>Texto</t>
        </is>
      </c>
      <c r="F72" s="5" t="inlineStr">
        <is>
          <r>
            <rPr>
              <rFont val="Century Gothic"/>
              <sz val="9"/>
            </rPr>
            <t xml:space="preserve">…Cuadro 3. Matriz resumen de las competencias del </t>
          </r>
          <r>
            <rPr>
              <rFont val="Century Gothic"/>
              <b val="1"/>
              <sz val="9"/>
            </rPr>
            <t>Contador Público Autorizado</t>
          </r>
          <r>
            <rPr>
              <rFont val="Century Gothic"/>
              <sz val="9"/>
            </rPr>
            <t>…</t>
          </r>
        </is>
      </c>
      <c r="G72" s="5" t="inlineStr">
        <is>
          <t>Contador Público</t>
        </is>
      </c>
      <c r="H72" s="8" t="inlineStr">
        <is>
          <t>Pendiente</t>
        </is>
      </c>
    </row>
    <row r="73">
      <c r="A73" s="6" t="n">
        <v>69</v>
      </c>
      <c r="B73" s="5" t="inlineStr">
        <is>
          <t>Contador Público Autorizado</t>
        </is>
      </c>
      <c r="C73" s="5" t="inlineStr">
        <is>
          <t>11. Implementación del proyecto curricular</t>
        </is>
      </c>
      <c r="D73" s="6" t="inlineStr">
        <is>
          <t>11.2.1</t>
        </is>
      </c>
      <c r="E73" s="6" t="inlineStr">
        <is>
          <t>Texto</t>
        </is>
      </c>
      <c r="F73" s="5" t="inlineStr">
        <is>
          <r>
            <rPr>
              <rFont val="Century Gothic"/>
              <sz val="9"/>
            </rPr>
            <t xml:space="preserve">…el área de Servicios de Aseguramiento, núcleo profesional del </t>
          </r>
          <r>
            <rPr>
              <rFont val="Century Gothic"/>
              <b val="1"/>
              <sz val="9"/>
            </rPr>
            <t>Contador Público Autorizado</t>
          </r>
          <r>
            <rPr>
              <rFont val="Century Gothic"/>
              <sz val="9"/>
            </rPr>
            <t>, tiene solo 12 titulares de 45 designaciones. Tercero, solo dos…</t>
          </r>
        </is>
      </c>
      <c r="G73" s="5" t="inlineStr">
        <is>
          <t>Contador Público</t>
        </is>
      </c>
      <c r="H73" s="8" t="inlineStr">
        <is>
          <t>Pendiente</t>
        </is>
      </c>
    </row>
    <row r="75">
      <c r="A75" s="9" t="inlineStr">
        <is>
          <t>Notas</t>
        </is>
      </c>
    </row>
    <row r="76" ht="30" customHeight="1">
      <c r="A76" s="3" t="inlineStr">
        <is>
          <t>Se sugiere usar «Rediseño Curricular». Las menciones al «Plan 2013», al plan vigente, no se tocan. Las menciones a la «Malla Curricular 2026» conviene cambiarlas por «malla curricular del Rediseño Curricular». En los puntos 9, 13 y 14, «Plan de Estudios 2024» parece citar como fuente el documento del plan vigente: conviene citarlo por su nombre oficial.</t>
        </is>
      </c>
    </row>
    <row r="77" ht="30" customHeight="1">
      <c r="A77" s="3" t="inlineStr">
        <is>
          <t>Se sugiere usar «Área Contable y de Auditoría». En el punto 3.1 la mención describe la estructura del Plan 2013; ahí puede conservarse con una aclaración.</t>
        </is>
      </c>
    </row>
    <row r="78" ht="30" customHeight="1">
      <c r="A78" s="3" t="inlineStr">
        <is>
          <t>Se sugiere usar «Área Contextual». En el punto 4.4 ya se usa la denominación nueva, pero en minúsculas («área contable y de auditoría», «área contextual»); conviene uniformar las mayúsculas.</t>
        </is>
      </c>
    </row>
    <row r="79" ht="30" customHeight="1">
      <c r="A79" s="3" t="inlineStr">
        <is>
          <t>Estas menciones no se refieren al título en provisión nacional y deben decir «Contador Público». Las menciones de los puntos 1.10, 3.5.2, 4.3.3 y 13.1.4 sí se refieren al título y se mantienen.</t>
        </is>
      </c>
    </row>
  </sheetData>
  <autoFilter ref="A4:H73"/>
  <mergeCells count="4">
    <mergeCell ref="A79:H79"/>
    <mergeCell ref="A76:H76"/>
    <mergeCell ref="A78:H78"/>
    <mergeCell ref="A77:H77"/>
  </mergeCells>
  <conditionalFormatting sqref="H5:H73">
    <cfRule type="expression" priority="1" dxfId="0">
      <formula>$H5="Corregido"</formula>
    </cfRule>
    <cfRule type="expression" priority="2" dxfId="1">
      <formula>$H5="En proceso"</formula>
    </cfRule>
    <cfRule type="expression" priority="3" dxfId="2">
      <formula>$H5="Pendiente"</formula>
    </cfRule>
    <cfRule type="expression" priority="4" dxfId="3">
      <formula>$H5="No aplica"</formula>
    </cfRule>
  </conditionalFormatting>
  <dataValidations count="1">
    <dataValidation sqref="H5:H73" showDropDown="0" showInputMessage="0" showErrorMessage="0" allowBlank="1" type="list">
      <formula1>"Pendiente,En proceso,Corregido,No aplica"</formula1>
    </dataValidation>
  </dataValidations>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G128"/>
  <sheetViews>
    <sheetView zoomScale="90" workbookViewId="0">
      <pane ySplit="4" topLeftCell="A5" activePane="bottomLeft" state="frozen"/>
      <selection pane="bottomLeft" activeCell="A1" sqref="A1"/>
    </sheetView>
  </sheetViews>
  <sheetFormatPr baseColWidth="8" defaultRowHeight="15"/>
  <cols>
    <col width="11" customWidth="1" min="1" max="1"/>
    <col width="34" customWidth="1" min="2" max="2"/>
    <col width="16" customWidth="1" min="3" max="3"/>
    <col width="11" customWidth="1" min="4" max="4"/>
    <col width="60" customWidth="1" min="5" max="5"/>
    <col width="50" customWidth="1" min="6" max="6"/>
    <col width="13" customWidth="1" min="7" max="7"/>
  </cols>
  <sheetData>
    <row r="1">
      <c r="A1" s="1" t="inlineStr">
        <is>
          <t>Control de cumplimiento de la Resolución HCU N.º 032/2025</t>
        </is>
      </c>
    </row>
    <row r="2">
      <c r="A2" s="2" t="inlineStr">
        <is>
          <t>Reglamento de Innovación Curricular de la UMSA: Artículo 8 (índice de 16 puntos) y Artículo 12 (criterios de la evaluación ex ante).</t>
        </is>
      </c>
    </row>
    <row r="4">
      <c r="A4" s="4" t="inlineStr">
        <is>
          <t>Punto</t>
        </is>
      </c>
      <c r="B4" s="4" t="inlineStr">
        <is>
          <t>Requisito</t>
        </is>
      </c>
      <c r="C4" s="4" t="inlineStr">
        <is>
          <t>Artículo</t>
        </is>
      </c>
      <c r="D4" s="4" t="inlineStr">
        <is>
          <t>Estado</t>
        </is>
      </c>
      <c r="E4" s="4" t="inlineStr">
        <is>
          <t>Evidencia u observación</t>
        </is>
      </c>
      <c r="F4" s="4" t="inlineStr">
        <is>
          <t>Recomendación</t>
        </is>
      </c>
      <c r="G4" s="4" t="inlineStr">
        <is>
          <t>Seguimiento</t>
        </is>
      </c>
    </row>
    <row r="5">
      <c r="A5" s="6" t="inlineStr">
        <is>
          <t>4.5</t>
        </is>
      </c>
      <c r="B5" s="5" t="inlineStr">
        <is>
          <t>Justificación, objetivos (general y específicos) y breve descripción de la asignatura</t>
        </is>
      </c>
      <c r="C5" s="5" t="inlineStr">
        <is>
          <t>Art. 9.II.2, 3 y 4.1; Art. 12 (Planes de asignaturas: «identificación ... y justificación»)</t>
        </is>
      </c>
      <c r="D5" s="6" t="inlineStr">
        <is>
          <t>No cumple</t>
        </is>
      </c>
      <c r="E5" s="5" t="inlineStr">
        <is>
          <t>hechos.md: los planes «NO tienen ... justificación ni objetivos propios»; la breve descripción tampoco figura en la estructura descrita.</t>
        </is>
      </c>
      <c r="F5" s="5" t="inlineStr">
        <is>
          <t>Incorporar en cada plan una justificación vinculada a la competencia y al perfil, el objetivo general y los específicos, y una breve descripción.</t>
        </is>
      </c>
      <c r="G5" s="8" t="inlineStr">
        <is>
          <t>Pendiente</t>
        </is>
      </c>
    </row>
    <row r="6">
      <c r="A6" s="6" t="inlineStr">
        <is>
          <t>4.5</t>
        </is>
      </c>
      <c r="B6" s="5" t="inlineStr">
        <is>
          <t>Carga horaria y créditos por elemento de competencia</t>
        </is>
      </c>
      <c r="C6" s="5" t="inlineStr">
        <is>
          <t>Art. 9.II.4.4</t>
        </is>
      </c>
      <c r="D6" s="6" t="inlineStr">
        <is>
          <t>No cumple</t>
        </is>
      </c>
      <c r="E6" s="5" t="inlineStr">
        <is>
          <t>hechos.md: los planes «NO tienen horas ni créditos por elemento de competencia».</t>
        </is>
      </c>
      <c r="F6" s="5" t="inlineStr">
        <is>
          <t>Distribuir las horas (presenciales y no presenciales) y los créditos de cada asignatura entre sus elementos de competencia.</t>
        </is>
      </c>
      <c r="G6" s="8" t="inlineStr">
        <is>
          <t>Pendiente</t>
        </is>
      </c>
    </row>
    <row r="7">
      <c r="A7" s="6" t="inlineStr">
        <is>
          <t>4.5</t>
        </is>
      </c>
      <c r="B7" s="5" t="inlineStr">
        <is>
          <t>Cronograma de avance (Gantt por semanas y elementos de competencia)</t>
        </is>
      </c>
      <c r="C7" s="5" t="inlineStr">
        <is>
          <t>Art. 9.II.5; Art. 12 (Planes de asignaturas)</t>
        </is>
      </c>
      <c r="D7" s="6" t="inlineStr">
        <is>
          <t>No cumple</t>
        </is>
      </c>
      <c r="E7" s="5" t="inlineStr">
        <is>
          <t>hechos.md: los planes no tienen «cronograma Gantt semanal».</t>
        </is>
      </c>
      <c r="F7" s="5" t="inlineStr">
        <is>
          <t>Añadir a cada plan un Gantt de 40 semanas con la distribución de los elementos de competencia.</t>
        </is>
      </c>
      <c r="G7" s="8" t="inlineStr">
        <is>
          <t>Pendiente</t>
        </is>
      </c>
    </row>
    <row r="8">
      <c r="A8" s="6" t="inlineStr">
        <is>
          <t>4.8</t>
        </is>
      </c>
      <c r="B8" s="5" t="inlineStr">
        <is>
          <t>Cantidad de horas de prácticas preprofesionales en empresa o institución pública o privada</t>
        </is>
      </c>
      <c r="C8" s="5" t="inlineStr">
        <is>
          <t>Art. 12 (Prácticas); Art. 11.VIII (Transferibilidad)</t>
        </is>
      </c>
      <c r="D8" s="6" t="inlineStr">
        <is>
          <t>No cumple</t>
        </is>
      </c>
      <c r="E8" s="5" t="inlineStr">
        <is>
          <t>«La carga horaria mínima, los requisitos de habilitación y el procedimiento de acreditación se establecerán en el Reglamento de Prácticas Preprofesionales»; el punto 13 lista ese reglamento como «Elaborar».</t>
        </is>
      </c>
      <c r="F8" s="5" t="inlineStr">
        <is>
          <t>Fijar en 4.8 la carga horaria mínima (total y por año, de 3.° a 5.°) y su relación con las HIP del punto 8.4.</t>
        </is>
      </c>
      <c r="G8" s="8" t="inlineStr">
        <is>
          <t>Pendiente</t>
        </is>
      </c>
    </row>
    <row r="9">
      <c r="A9" s="6" t="inlineStr">
        <is>
          <t>5.4</t>
        </is>
      </c>
      <c r="B9" s="5" t="inlineStr">
        <is>
          <t>Modalidades de graduación con sigla, denominación, carga horaria y créditos</t>
        </is>
      </c>
      <c r="C9" s="5" t="inlineStr">
        <is>
          <t>Art. 12 (Admisión, Promoción y Graduación)</t>
        </is>
      </c>
      <c r="D9" s="6" t="inlineStr">
        <is>
          <t>No cumple</t>
        </is>
      </c>
      <c r="E9" s="5" t="inlineStr">
        <is>
          <t>5.4.2 y 5.4.3 describen tesis, proyecto, trabajo dirigido, examen por ciclos, excelencia, PETAENG y los grados técnicos solo por denominación y procedimiento; ninguna modalidad tiene sigla, carga horaria ni créditos. La única carga aparece fuera del punto 5: «al menos 1.280 horas de trabajo efectivo» (13, Art. 29, trabajo dirigido).</t>
        </is>
      </c>
      <c r="F9" s="5" t="inlineStr">
        <is>
          <t>Añadir un cuadro de modalidades de graduación con sigla (p. ej., GRD-TES, GRD-PRY, GRD-TDI, GRD-EXG), denominación, carga horaria y créditos de cada una, incluidas las de Técnico Universitario Medio y Superior.</t>
        </is>
      </c>
      <c r="G9" s="8" t="inlineStr">
        <is>
          <t>Pendiente</t>
        </is>
      </c>
    </row>
    <row r="10">
      <c r="A10" s="6" t="inlineStr">
        <is>
          <t>7</t>
        </is>
      </c>
      <c r="B10" s="5" t="inlineStr">
        <is>
          <t>Horas de interacción social que deben cumplir los estudiantes (demostrable)</t>
        </is>
      </c>
      <c r="C10" s="5" t="inlineStr">
        <is>
          <t>Art. 12 (Interacción social)</t>
        </is>
      </c>
      <c r="D10" s="6" t="inlineStr">
        <is>
          <t>No cumple</t>
        </is>
      </c>
      <c r="E10" s="5" t="inlineStr">
        <is>
          <t>El punto 7 no fija ninguna cantidad de horas; 13.1.2 remite la cuestión a un reglamento por elaborar: «Reglamento de Interacción Social | Elaborar | Horas mínimas».</t>
        </is>
      </c>
      <c r="F10" s="5" t="inlineStr">
        <is>
          <t>Fijar en el punto 7 las horas mínimas de interacción social por estudiante (por año o en total), las actividades válidas y el medio de verificación (registro, certificado o informe).</t>
        </is>
      </c>
      <c r="G10" s="8" t="inlineStr">
        <is>
          <t>Pendiente</t>
        </is>
      </c>
    </row>
    <row r="11">
      <c r="A11" s="6" t="inlineStr">
        <is>
          <t>8.6</t>
        </is>
      </c>
      <c r="B11" s="5" t="inlineStr">
        <is>
          <t>Número mínimo y máximo de estudiantes por asignatura o paralelo</t>
        </is>
      </c>
      <c r="C11" s="5" t="inlineStr">
        <is>
          <t>Art. 8.II.8; Art. 12 (Organización)</t>
        </is>
      </c>
      <c r="D11" s="6" t="inlineStr">
        <is>
          <t>No cumple</t>
        </is>
      </c>
      <c r="E11" s="5" t="inlineStr">
        <is>
          <t>Solo presenta promedios 2023 a 2026 y delega: «el Director de carrera debe habilitar la cantidad de estudiantes que se pueden inscribir por paralelo». No hay mínimo ni máximo.</t>
        </is>
      </c>
      <c r="F11" s="5" t="inlineStr">
        <is>
          <t>Fijar mínimo y máximo por paralelo (p. ej., máximo 80 como meta intermedia y 60 como meta objetivo, que ya cita el punto 11.1.1, y un mínimo para abrir paralelo), y aplicar el mismo criterio a laboratorios.</t>
        </is>
      </c>
      <c r="G11" s="8" t="inlineStr">
        <is>
          <t>Pendiente</t>
        </is>
      </c>
    </row>
    <row r="12">
      <c r="A12" s="6" t="inlineStr">
        <is>
          <t>1.3</t>
        </is>
      </c>
      <c r="B12" s="5" t="inlineStr">
        <is>
          <t>Fecha de creación y Resolución HCU</t>
        </is>
      </c>
      <c r="C12" s="5" t="inlineStr">
        <is>
          <t>Art. 8.II.1</t>
        </is>
      </c>
      <c r="D12" s="6" t="inlineStr">
        <is>
          <t>Parcial</t>
        </is>
      </c>
      <c r="E12" s="5" t="inlineStr">
        <is>
          <t>Se indica la fecha de fundación (25 de agosto de 1970), pero no se cita una Resolución HCU de creación; la única resolución HCU citada es la N.º 057/1974, que «aprobó el currículum de materias, el programa de examen de licenciatura y la homologación de los planes de estudio de la mención».</t>
        </is>
      </c>
      <c r="F12" s="5" t="inlineStr">
        <is>
          <t>Citar la resolución (HCU u otra instancia) que creó la Carrera de Auditoría en 1970 o, si no existe, declararlo expresamente e indicar que la HCU 057/1974 es el primer acto del HCU que la reconoce.</t>
        </is>
      </c>
      <c r="G12" s="8" t="inlineStr">
        <is>
          <t>Pendiente</t>
        </is>
      </c>
    </row>
    <row r="13">
      <c r="A13" s="6" t="inlineStr">
        <is>
          <t>2.2</t>
        </is>
      </c>
      <c r="B13" s="5" t="inlineStr">
        <is>
          <t>Misión y visión alineadas y armonizadas con las de la UMSA</t>
        </is>
      </c>
      <c r="C13" s="5" t="inlineStr">
        <is>
          <t>Art. 12 / Art. 11.II</t>
        </is>
      </c>
      <c r="D13" s="6" t="inlineStr">
        <is>
          <t>Parcial</t>
        </is>
      </c>
      <c r="E13" s="5" t="inlineStr">
        <is>
          <t>Ni 2.2 ni el resto del documento transcriben ni comparan la misión y visión de la UMSA; el Cuadro 12 de 3.2.1 solo afirma «Visión, misión, perfil... formulados de manera articulada».</t>
        </is>
      </c>
      <c r="F13" s="5" t="inlineStr">
        <is>
          <t>Incluir la misión y visión de la UMSA y un cuadro breve que muestre los elementos comunes (formación integral, responsabilidad social, investigación, interés público).</t>
        </is>
      </c>
      <c r="G13" s="8" t="inlineStr">
        <is>
          <t>Pendiente</t>
        </is>
      </c>
    </row>
    <row r="14">
      <c r="A14" s="6" t="inlineStr">
        <is>
          <t>2.3</t>
        </is>
      </c>
      <c r="B14" s="5" t="inlineStr">
        <is>
          <t>Plan de desarrollo de la Carrera</t>
        </is>
      </c>
      <c r="C14" s="5" t="inlineStr">
        <is>
          <t>Art. 8.II.2</t>
        </is>
      </c>
      <c r="D14" s="6" t="inlineStr">
        <is>
          <t>Parcial</t>
        </is>
      </c>
      <c r="E14" s="5" t="inlineStr">
        <is>
          <t>2.3 tiene un solo párrafo: el plan de la Carrera «forma parte del plan estratégico Institucional de la Facultad... HCF N.°1013/2026», sin áreas, objetivos, metas ni indicadores. Las áreas estratégicas y el OE 1.3 aparecen solo en 3.2.1.</t>
        </is>
      </c>
      <c r="F14" s="5" t="inlineStr">
        <is>
          <t>Trasladar o resumir en 2.3 las áreas estratégicas, objetivos y metas del PEI que corresponden a la Carrera (OE 1.3, metas de acreditación) y su horizonte 2026-2030.</t>
        </is>
      </c>
      <c r="G14" s="8" t="inlineStr">
        <is>
          <t>Pendiente</t>
        </is>
      </c>
    </row>
    <row r="15">
      <c r="A15" s="6" t="inlineStr">
        <is>
          <t>2.3</t>
        </is>
      </c>
      <c r="B15" s="5" t="inlineStr">
        <is>
          <t>Plan de desarrollo alineado y armonizado al de la UMSA</t>
        </is>
      </c>
      <c r="C15" s="5" t="inlineStr">
        <is>
          <t>Art. 12</t>
        </is>
      </c>
      <c r="D15" s="6" t="inlineStr">
        <is>
          <t>Parcial</t>
        </is>
      </c>
      <c r="E15" s="5" t="inlineStr">
        <is>
          <t>La concordancia con el PEI-UMSA 2026-2030 solo se afirma en 3.2.1 («elaborado en concordancia vertical con el PEI-UMSA 2026-2030»); 2.3 no la muestra.</t>
        </is>
      </c>
      <c r="F15" s="5" t="inlineStr">
        <is>
          <t>Agregar en 2.3 la correspondencia entre áreas u objetivos del PEI-UMSA, del PEI facultativo y de la Carrera.</t>
        </is>
      </c>
      <c r="G15" s="8" t="inlineStr">
        <is>
          <t>Pendiente</t>
        </is>
      </c>
    </row>
    <row r="16">
      <c r="A16" s="6" t="inlineStr">
        <is>
          <t>2.4</t>
        </is>
      </c>
      <c r="B16" s="5" t="inlineStr">
        <is>
          <t>Objetivos del Programa/Carrera</t>
        </is>
      </c>
      <c r="C16" s="5" t="inlineStr">
        <is>
          <t>Art. 8.II.2</t>
        </is>
      </c>
      <c r="D16" s="6" t="inlineStr">
        <is>
          <t>Parcial</t>
        </is>
      </c>
      <c r="E16" s="5" t="inlineStr">
        <is>
          <t>2.4.1 presenta «seis ejes estratégicos» con propósitos, pero no un objetivo general ni objetivos específicos de la Carrera, ni su relación con las cuatro áreas del PEI facultativo citadas en 3.2.1.</t>
        </is>
      </c>
      <c r="F16" s="5" t="inlineStr">
        <is>
          <t>Formular un objetivo general y objetivos específicos, y relacionar los seis ejes con las cuatro áreas estratégicas del PEI 2026-2030.</t>
        </is>
      </c>
      <c r="G16" s="8" t="inlineStr">
        <is>
          <t>Pendiente</t>
        </is>
      </c>
    </row>
    <row r="17">
      <c r="A17" s="6" t="inlineStr">
        <is>
          <t>3.1.1</t>
        </is>
      </c>
      <c r="B17" s="5" t="inlineStr">
        <is>
          <t>Descripción de las mallas curriculares anteriores resaltando las asignaturas que ya no existen</t>
        </is>
      </c>
      <c r="C17" s="5" t="inlineStr">
        <is>
          <t>Art. 12</t>
        </is>
      </c>
      <c r="D17" s="6" t="inlineStr">
        <is>
          <t>Parcial</t>
        </is>
      </c>
      <c r="E17" s="5" t="inlineStr">
        <is>
          <t>3.1.1 describe solo la malla del Plan 2013 (Cuadro 2); no describe el Plan 1999 ni el Plan 2024 citados en 1.4, y no señala qué asignaturas desaparecen (por ejemplo CPA-404 Sistemas de Contabilidad Automatizados, CPA-305 Sistemas de Información, CPA-511 Seminario de Grado). El Cuadro 10 solo indica tratamientos generales.</t>
        </is>
      </c>
      <c r="F17" s="5" t="inlineStr">
        <is>
          <t>Agregar una columna o marca en el Cuadro 2 que identifique las asignaturas que ya no existen o cambian de nombre en la nueva malla, remitiendo al cuadro de equivalencias del punto 16.1.3, y una breve reseña de los planes 1999 y 2024.</t>
        </is>
      </c>
      <c r="G17" s="8" t="inlineStr">
        <is>
          <t>Pendiente</t>
        </is>
      </c>
    </row>
    <row r="18">
      <c r="A18" s="6" t="inlineStr">
        <is>
          <t>3.2.1</t>
        </is>
      </c>
      <c r="B18" s="5" t="inlineStr">
        <is>
          <t>Alcance económico: evaluación de costos humanos y económicos</t>
        </is>
      </c>
      <c r="C18" s="5" t="inlineStr">
        <is>
          <t>Art. 11.V</t>
        </is>
      </c>
      <c r="D18" s="6" t="inlineStr">
        <is>
          <t>Parcial</t>
        </is>
      </c>
      <c r="E18" s="5" t="inlineStr">
        <is>
          <t>En el Cuadro 12 la respuesta a «Alcance económico» es solo «Eje tecnológico transversal con software de licencia académica o abierta», sin referencia a costos.</t>
        </is>
      </c>
      <c r="F18" s="5" t="inlineStr">
        <is>
          <t>Remitir a la política presupuestaria y a los requerimientos de recursos humanos del punto 11 (11.2.3 y 11.3) como respuesta a este criterio.</t>
        </is>
      </c>
      <c r="G18" s="8" t="inlineStr">
        <is>
          <t>Pendiente</t>
        </is>
      </c>
    </row>
    <row r="19">
      <c r="A19" s="6" t="inlineStr">
        <is>
          <t>3.3</t>
        </is>
      </c>
      <c r="B19" s="5" t="inlineStr">
        <is>
          <t>Diagnóstico de contexto social y necesidades a nivel departamental y nacional</t>
        </is>
      </c>
      <c r="C19" s="5" t="inlineStr">
        <is>
          <t>Art. 12</t>
        </is>
      </c>
      <c r="D19" s="6" t="inlineStr">
        <is>
          <t>Parcial</t>
        </is>
      </c>
      <c r="E19" s="5" t="inlineStr">
        <is>
          <t>El análisis es casi totalmente nacional; el nivel departamental se limita a «cerca de 117.800 de ellas en La Paz». El contexto social no tiene un subpunto propio (solo informalidad y el 85 % de presión para abandonar).</t>
        </is>
      </c>
      <c r="F19" s="5" t="inlineStr">
        <is>
          <t>Añadir indicadores del departamento de La Paz (empleo, estructura empresarial, demanda del sector público departamental y municipal) y un párrafo de contexto social del que se deriven necesidades de formación.</t>
        </is>
      </c>
      <c r="G19" s="8" t="inlineStr">
        <is>
          <t>Pendiente</t>
        </is>
      </c>
    </row>
    <row r="20">
      <c r="A20" s="6" t="inlineStr">
        <is>
          <t>3.3.3</t>
        </is>
      </c>
      <c r="B20" s="5" t="inlineStr">
        <is>
          <t>Familias o áreas laborales y posibles empresas que la Carrera podría implementar</t>
        </is>
      </c>
      <c r="C20" s="5" t="inlineStr">
        <is>
          <t>Art. 12</t>
        </is>
      </c>
      <c r="D20" s="6" t="inlineStr">
        <is>
          <t>Parcial</t>
        </is>
      </c>
      <c r="E20" s="5" t="inlineStr">
        <is>
          <t>El Cuadro 20 identifica áreas laborales y empleadores, pero no identifica las empresas o servicios que la Carrera podría implementar (solo se menciona la consultoría social en 4.8, no en el punto 3).</t>
        </is>
      </c>
      <c r="F20" s="5" t="inlineStr">
        <is>
          <t>Agregar las iniciativas que la Carrera podría implementar (por ejemplo consultorio contable y tributario, unidad de servicios de auditoría o capacitación) con base en el análisis del mercado.</t>
        </is>
      </c>
      <c r="G20" s="8" t="inlineStr">
        <is>
          <t>Pendiente</t>
        </is>
      </c>
    </row>
    <row r="21">
      <c r="A21" s="6" t="inlineStr">
        <is>
          <t>3.5.2</t>
        </is>
      </c>
      <c r="B21" s="5" t="inlineStr">
        <is>
          <t>Oferta formativa similar nacional e internacional, señalando las universidades</t>
        </is>
      </c>
      <c r="C21" s="5" t="inlineStr">
        <is>
          <t>Art. 8.II.3 / Art. 12</t>
        </is>
      </c>
      <c r="D21" s="6" t="inlineStr">
        <is>
          <t>Parcial</t>
        </is>
      </c>
      <c r="E21" s="5" t="inlineStr">
        <is>
          <t>El Cuadro 27 solo lista cuatro «universidades mayores» y solo el título; la «oferta privada paceña» se menciona sin nombrar instituciones. La oferta internacional (Cuadro 28) sí nombra tres universidades.</t>
        </is>
      </c>
      <c r="F21" s="5" t="inlineStr">
        <is>
          <t>Completar el Cuadro 27 con las demás universidades del Sistema y las privadas de La Paz que ofrecen la carrera, con duración, carga horaria y grados intermedios.</t>
        </is>
      </c>
      <c r="G21" s="8" t="inlineStr">
        <is>
          <t>Pendiente</t>
        </is>
      </c>
    </row>
    <row r="22">
      <c r="A22" s="6" t="inlineStr">
        <is>
          <t>4.1</t>
        </is>
      </c>
      <c r="B22" s="5" t="inlineStr">
        <is>
          <t>Concordancia de los fundamentos con el Modelo Educativo de la UMSA y vínculo con misión, perfil, competencias y contenidos</t>
        </is>
      </c>
      <c r="C22" s="5" t="inlineStr">
        <is>
          <t>Art. 12 (Fundamentos curriculares); Art. 11.II</t>
        </is>
      </c>
      <c r="D22" s="6" t="inlineStr">
        <is>
          <t>Parcial</t>
        </is>
      </c>
      <c r="E22" s="5" t="inlineStr">
        <is>
          <t>Se afirma la concordancia «con el Modelo Educativo de la UMSA» (línea 5), pero las citas de sustento son del «Modelo Educativo del SUB» (CEUB, 2023) y del «Modelo Académico del Sistema de la Universidad Boliviana»; no se cita ni se describe el modelo educativo propio de la UMSA.</t>
        </is>
      </c>
      <c r="F22" s="5" t="inlineStr">
        <is>
          <t>Citar el Modelo Educativo de la UMSA (documento y resolución) y mostrar en qué rasgos concuerdan los fundamentos.</t>
        </is>
      </c>
      <c r="G22" s="8" t="inlineStr">
        <is>
          <t>Pendiente</t>
        </is>
      </c>
    </row>
    <row r="23">
      <c r="A23" s="6" t="inlineStr">
        <is>
          <t>4.1.4</t>
        </is>
      </c>
      <c r="B23" s="5" t="inlineStr">
        <is>
          <t>Fundamentos educativos (modelo curricular, modelo pedagógico, modelo didáctico)</t>
        </is>
      </c>
      <c r="C23" s="5" t="inlineStr">
        <is>
          <t>Art. 12 (Fundamentos curriculares)</t>
        </is>
      </c>
      <c r="D23" s="6" t="inlineStr">
        <is>
          <t>Parcial</t>
        </is>
      </c>
      <c r="E23" s="5" t="inlineStr">
        <is>
          <t>4.1.4 declara «un modelo pedagógico centrado en competencias y aprendizaje situado» y desarrolla las IES 1 a 8; el modelo curricular solo se describe en 4.3.1 y el modelo didáctico no se nombra de forma explícita.</t>
        </is>
      </c>
      <c r="F23" s="5" t="inlineStr">
        <is>
          <t>Incluir en 4.1.4 una síntesis explícita de los tres modelos (curricular, pedagógico y didáctico) o remitir expresamente a 4.3.1 y 4.6.</t>
        </is>
      </c>
      <c r="G23" s="8" t="inlineStr">
        <is>
          <t>Pendiente</t>
        </is>
      </c>
    </row>
    <row r="24">
      <c r="A24" s="6" t="inlineStr">
        <is>
          <t>4.1 a 4.8</t>
        </is>
      </c>
      <c r="B24" s="5" t="inlineStr">
        <is>
          <t>Cuadro comparativo de la situación anterior y posterior</t>
        </is>
      </c>
      <c r="C24" s="5" t="inlineStr">
        <is>
          <t>Art. 13</t>
        </is>
      </c>
      <c r="D24" s="6" t="inlineStr">
        <is>
          <t>Parcial</t>
        </is>
      </c>
      <c r="E24" s="5" t="inlineStr">
        <is>
          <t>Los puntos 4.1 a 4.8 no incluyen ni citan cuadro comparativo; existe el «Cuadro 10. Tratamiento previsto de los componentes del Plan 2013» del punto 3 y el cuadro de equivalencias de 16.1.3.</t>
        </is>
      </c>
      <c r="F24" s="5" t="inlineStr">
        <is>
          <t>Remitir desde 4.3.3 (Alcance) o 4.4.3 al cuadro comparativo, o anexarlo.</t>
        </is>
      </c>
      <c r="G24" s="8" t="inlineStr">
        <is>
          <t>Pendiente</t>
        </is>
      </c>
    </row>
    <row r="25">
      <c r="A25" s="6" t="inlineStr">
        <is>
          <t>4.2.7</t>
        </is>
      </c>
      <c r="B25" s="5" t="inlineStr">
        <is>
          <t>Perfil pertinente con la misión de la UMSA</t>
        </is>
      </c>
      <c r="C25" s="5" t="inlineStr">
        <is>
          <t>Art. 12 (Referentes disciplinares); Art. 11.IV</t>
        </is>
      </c>
      <c r="D25" s="6" t="inlineStr">
        <is>
          <t>Parcial</t>
        </is>
      </c>
      <c r="E25" s="5" t="inlineStr">
        <is>
          <t>Ni 4.2.7 ni el resto de 4.2 mencionan la misión de la UMSA; el perfil se sustenta en la Resolución N.º 07/2024 y en el IESBA.</t>
        </is>
      </c>
      <c r="F25" s="5" t="inlineStr">
        <is>
          <t>Añadir un párrafo que relacione el perfil con la misión de la UMSA (profesionales responsables con su sociedad, emprendedores y constructores de una sociedad justa e inclusiva, Art. 11.IV).</t>
        </is>
      </c>
      <c r="G25" s="8" t="inlineStr">
        <is>
          <t>Pendiente</t>
        </is>
      </c>
    </row>
    <row r="26">
      <c r="A26" s="6" t="inlineStr">
        <is>
          <t>4.3.5 y 4.4.3</t>
        </is>
      </c>
      <c r="B26" s="5" t="inlineStr">
        <is>
          <t>Articulación en ciclos formativos (técnico medio, técnico superior, licenciatura, postgrado)</t>
        </is>
      </c>
      <c r="C26" s="5" t="inlineStr">
        <is>
          <t>Art. 11.IX</t>
        </is>
      </c>
      <c r="D26" s="6" t="inlineStr">
        <is>
          <t>Parcial</t>
        </is>
      </c>
      <c r="E26" s="5" t="inlineStr">
        <is>
          <t>4.3.5 define ciclos «Básico 1.° y 2.°», «Profesional 3.° y 4.°», «De integración y profundización 5.°»; la salida de Técnico Universitario Superior al concluir 3.° año queda dentro del ciclo profesional y no se explica.</t>
        </is>
      </c>
      <c r="F26" s="5" t="inlineStr">
        <is>
          <t>Alinear los ciclos con las salidas intermedias o explicar cómo se articulan.</t>
        </is>
      </c>
      <c r="G26" s="8" t="inlineStr">
        <is>
          <t>Pendiente</t>
        </is>
      </c>
    </row>
    <row r="27">
      <c r="A27" s="6" t="inlineStr">
        <is>
          <t>4.4</t>
        </is>
      </c>
      <c r="B27" s="5" t="inlineStr">
        <is>
          <t>Correspondencia del régimen anual con la competencia profesional</t>
        </is>
      </c>
      <c r="C27" s="5" t="inlineStr">
        <is>
          <t>Art. 12 (Estructura curricular)</t>
        </is>
      </c>
      <c r="D27" s="6" t="inlineStr">
        <is>
          <t>Parcial</t>
        </is>
      </c>
      <c r="E27" s="5" t="inlineStr">
        <is>
          <t>4.4.4 solo indica «modalidad presencial y régimen anual durante cinco años», sin justificar por qué el régimen anual corresponde a la competencia profesional.</t>
        </is>
      </c>
      <c r="F27" s="5" t="inlineStr">
        <is>
          <t>Agregar una justificación breve del régimen anual (secuencia de prerrequisitos, gabinetes anuales, estudiante que trabaja).</t>
        </is>
      </c>
      <c r="G27" s="8" t="inlineStr">
        <is>
          <t>Pendiente</t>
        </is>
      </c>
    </row>
    <row r="28">
      <c r="A28" s="6" t="inlineStr">
        <is>
          <t>4.4.2</t>
        </is>
      </c>
      <c r="B28" s="5" t="inlineStr">
        <is>
          <t>Mapa de competencias (competencia y unidades de competencia); unidades de competencia coherentes con la competencia de la Carrera y el perfil</t>
        </is>
      </c>
      <c r="C28" s="5" t="inlineStr">
        <is>
          <t>Art. 8.II.4.4; Art. 12 (Estructura curricular)</t>
        </is>
      </c>
      <c r="D28" s="6" t="inlineStr">
        <is>
          <t>Parcial</t>
        </is>
      </c>
      <c r="E28" s="5" t="inlineStr">
        <is>
          <t>4.4.2 presenta la «Competencia global de la Carrera» y el «Cuadro 3. Competencias por área de conocimiento», pero remite las unidades de competencia a 4.5: «La unidad de competencia y los elementos de competencia de cada asignatura se establecen en los planes de asignatura del punto 4.5». El mapa no muestra las 43 unidades de competencia.</t>
        </is>
      </c>
      <c r="F28" s="5" t="inlineStr">
        <is>
          <t>Añadir al mapa un cuadro con las 43 unidades de competencia (tomadas de los planes de 4.5) agrupadas por área y año, para demostrar su coherencia con la competencia global y el perfil.</t>
        </is>
      </c>
      <c r="G28" s="8" t="inlineStr">
        <is>
          <t>Pendiente</t>
        </is>
      </c>
    </row>
    <row r="29">
      <c r="A29" s="6" t="inlineStr">
        <is>
          <t>4.4.2</t>
        </is>
      </c>
      <c r="B29" s="5" t="inlineStr">
        <is>
          <t>Competencia coherente con el perfil profesional</t>
        </is>
      </c>
      <c r="C29" s="5" t="inlineStr">
        <is>
          <t>Art. 12 (Estructura curricular); Art. 11.II</t>
        </is>
      </c>
      <c r="D29" s="6" t="inlineStr">
        <is>
          <t>Parcial</t>
        </is>
      </c>
      <c r="E29" s="5" t="inlineStr">
        <is>
          <t>La competencia global («Diseña, opera, evalúa y audita sistemas integrados de información...») no recoge los servicios distintos del aseguramiento, la consultoría, la tributación ni las finanzas que sí figuran en el perfil («Aporta valor a través de servicios de aseguramiento y no aseguramiento ... la consultoría en sostenibilidad y cumplimiento normativo»).</t>
        </is>
      </c>
      <c r="F29" s="5" t="inlineStr">
        <is>
          <t>Completar la competencia global con la consultoría y los servicios distintos del aseguramiento, la tributación y las finanzas.</t>
        </is>
      </c>
      <c r="G29" s="8" t="inlineStr">
        <is>
          <t>Pendiente</t>
        </is>
      </c>
    </row>
    <row r="30">
      <c r="A30" s="6" t="inlineStr">
        <is>
          <t>4.4.3</t>
        </is>
      </c>
      <c r="B30" s="5" t="inlineStr">
        <is>
          <t>Relación de asignaturas en su ubicación de nivel de formación (ciclos formativos y grados intermedios)</t>
        </is>
      </c>
      <c r="C30" s="5" t="inlineStr">
        <is>
          <t>Art. 12 (Estructura curricular); Art. 11.IX (Articulación)</t>
        </is>
      </c>
      <c r="D30" s="6" t="inlineStr">
        <is>
          <t>Parcial</t>
        </is>
      </c>
      <c r="E30" s="5" t="inlineStr">
        <is>
          <t>Los ciclos solo aparecen en la nota al pie («Ciclo básico: primer y segundo año; ciclo profesional: tercer y cuarto año...») y la malla no señala las salidas de Técnico Universitario Medio (2.° año) y Técnico Universitario Superior (3.° año).</t>
        </is>
      </c>
      <c r="F30" s="5" t="inlineStr">
        <is>
          <t>Incluir un mapa curricular gráfico que marque los ciclos y las salidas intermedias de TUM y TUS.</t>
        </is>
      </c>
      <c r="G30" s="8" t="inlineStr">
        <is>
          <t>Pendiente</t>
        </is>
      </c>
    </row>
    <row r="31">
      <c r="A31" s="6" t="inlineStr">
        <is>
          <t>4.4.4</t>
        </is>
      </c>
      <c r="B31" s="5" t="inlineStr">
        <is>
          <t>Cuadro de asignación de cargas horarias presenciales y no presenciales (según formato)</t>
        </is>
      </c>
      <c r="C31" s="5" t="inlineStr">
        <is>
          <t>Art. 8.II.4.4</t>
        </is>
      </c>
      <c r="D31" s="6" t="inlineStr">
        <is>
          <t>Parcial</t>
        </is>
      </c>
      <c r="E31" s="5" t="inlineStr">
        <is>
          <t>El «Cuadro 9. Asignación de cargas horarias por año» solo desagrega por año; por asignatura se remite a los planes: «La distinción de horas teóricas, prácticas y de laboratorio se consigna en cada plan de asignatura».</t>
        </is>
      </c>
      <c r="F31" s="5" t="inlineStr">
        <is>
          <t>Añadir un cuadro por asignatura con HP, HAA, HTG, HIP, HE, total y créditos, tal como figuran en los 43 planes de 4.5.</t>
        </is>
      </c>
      <c r="G31" s="8" t="inlineStr">
        <is>
          <t>Pendiente</t>
        </is>
      </c>
    </row>
    <row r="32">
      <c r="A32" s="6" t="inlineStr">
        <is>
          <t>4.5</t>
        </is>
      </c>
      <c r="B32" s="5" t="inlineStr">
        <is>
          <t>Identificación de la asignatura (nombre, sigla, semestre o año, modalidad, carga horaria presencial y no presencial, créditos, gestión, prerrequisitos)</t>
        </is>
      </c>
      <c r="C32" s="5" t="inlineStr">
        <is>
          <t>Art. 9.II.1; Art. 12 (Planes de asignaturas)</t>
        </is>
      </c>
      <c r="D32" s="6" t="inlineStr">
        <is>
          <t>Parcial</t>
        </is>
      </c>
      <c r="E32" s="5" t="inlineStr">
        <is>
          <t>Según hechos.md, los datos generales incluyen «asignatura, sigla, área, prerrequisito» y la carga HP, HAA, HTG, HIP, HE, TOTAL y créditos; no constan año de ubicación, modalidad ni gestión.</t>
        </is>
      </c>
      <c r="F32" s="5" t="inlineStr">
        <is>
          <t>Añadir año de ubicación, modalidad y gestión en el encabezado de los 43 planes.</t>
        </is>
      </c>
      <c r="G32" s="8" t="inlineStr">
        <is>
          <t>Pendiente</t>
        </is>
      </c>
    </row>
    <row r="33">
      <c r="A33" s="6" t="inlineStr">
        <is>
          <t>4.5</t>
        </is>
      </c>
      <c r="B33" s="5" t="inlineStr">
        <is>
          <t>Por cada elemento de competencia: criterios de desempeño y evidencias de desempeño, de producto y de conocimiento</t>
        </is>
      </c>
      <c r="C33" s="5" t="inlineStr">
        <is>
          <t>Art. 9.II.4.4; Art. 12 (Planes de asignaturas)</t>
        </is>
      </c>
      <c r="D33" s="6" t="inlineStr">
        <is>
          <t>Parcial</t>
        </is>
      </c>
      <c r="E33" s="5" t="inlineStr">
        <is>
          <t>hechos.md describe 2 criterios por elemento, pero «4 evidencias de desempeño, 4 evidencias de producto» y las evidencias de conocimiento como unidades de aprendizaje, sin indicar que se asignen a cada elemento.</t>
        </is>
      </c>
      <c r="F33" s="5" t="inlineStr">
        <is>
          <t>Verificar y, si falta, mostrar en el itinerario qué evidencias corresponden a cada elemento de competencia.</t>
        </is>
      </c>
      <c r="G33" s="8" t="inlineStr">
        <is>
          <t>Pendiente</t>
        </is>
      </c>
    </row>
    <row r="34">
      <c r="A34" s="6" t="inlineStr">
        <is>
          <t>4.5</t>
        </is>
      </c>
      <c r="B34" s="5" t="inlineStr">
        <is>
          <t>Actividades, estrategias de aprendizaje y enseñanza, recursos y ambientes de aprendizaje</t>
        </is>
      </c>
      <c r="C34" s="5" t="inlineStr">
        <is>
          <t>Art. 9.II.4.4; Art. 12 (Planes de asignaturas: estrategias de aprendizaje)</t>
        </is>
      </c>
      <c r="D34" s="6" t="inlineStr">
        <is>
          <t>Parcial</t>
        </is>
      </c>
      <c r="E34" s="5" t="inlineStr">
        <is>
          <t>hechos.md: incluyen «actividades (en clase, autónomas, B-Learning, taller, investigación/práctica), estrategias de aprendizaje y enseñanza, recursos»; no constan los ambientes de aprendizaje.</t>
        </is>
      </c>
      <c r="F34" s="5" t="inlineStr">
        <is>
          <t>Añadir los ambientes de aprendizaje (aula, laboratorio, plataforma virtual, entidad de práctica).</t>
        </is>
      </c>
      <c r="G34" s="8" t="inlineStr">
        <is>
          <t>Pendiente</t>
        </is>
      </c>
    </row>
    <row r="35">
      <c r="A35" s="6" t="inlineStr">
        <is>
          <t>4.5</t>
        </is>
      </c>
      <c r="B35" s="5" t="inlineStr">
        <is>
          <t>Evaluación por elemento y unidad de competencia, criterios de evaluación y medios de verificación</t>
        </is>
      </c>
      <c r="C35" s="5" t="inlineStr">
        <is>
          <t>Art. 9.II.4.4; Art. 12 (Planes de asignaturas)</t>
        </is>
      </c>
      <c r="D35" s="6" t="inlineStr">
        <is>
          <t>Parcial</t>
        </is>
      </c>
      <c r="E35" s="5" t="inlineStr">
        <is>
          <t>hechos.md: «estrategias y criterios de evaluación, rúbricas por producto»; la evaluación está organizada por producto y no consta por elemento ni por unidad de competencia.</t>
        </is>
      </c>
      <c r="F35" s="5" t="inlineStr">
        <is>
          <t>Relacionar cada rúbrica y ponderación con el elemento de competencia que evalúa e incluir la valoración integradora de la unidad de competencia.</t>
        </is>
      </c>
      <c r="G35" s="8" t="inlineStr">
        <is>
          <t>Pendiente</t>
        </is>
      </c>
    </row>
    <row r="36">
      <c r="A36" s="6" t="inlineStr">
        <is>
          <t>4.5</t>
        </is>
      </c>
      <c r="B36" s="5" t="inlineStr">
        <is>
          <t>Bibliografía esencial, complementaria y webgrafía</t>
        </is>
      </c>
      <c r="C36" s="5" t="inlineStr">
        <is>
          <t>Art. 9.II.6; Art. 12 (Planes de asignaturas)</t>
        </is>
      </c>
      <c r="D36" s="6" t="inlineStr">
        <is>
          <t>Parcial</t>
        </is>
      </c>
      <c r="E36" s="5" t="inlineStr">
        <is>
          <t>hechos.md: «bibliografía básica y complementaria»; no consta webgrafía.</t>
        </is>
      </c>
      <c r="F36" s="5" t="inlineStr">
        <is>
          <t>Añadir la webgrafía (normas en línea, portales del SIN, CGE, IFAC).</t>
        </is>
      </c>
      <c r="G36" s="8" t="inlineStr">
        <is>
          <t>Pendiente</t>
        </is>
      </c>
    </row>
    <row r="37">
      <c r="A37" s="6" t="inlineStr">
        <is>
          <t>4.6</t>
        </is>
      </c>
      <c r="B37" s="5" t="inlineStr">
        <is>
          <t>Coherencia de las estrategias con elementos de competencia, unidad de competencia, perfil y modelo educativo</t>
        </is>
      </c>
      <c r="C37" s="5" t="inlineStr">
        <is>
          <t>Art. 12 (Estrategias); Art. 11.II</t>
        </is>
      </c>
      <c r="D37" s="6" t="inlineStr">
        <is>
          <t>Parcial</t>
        </is>
      </c>
      <c r="E37" s="5" t="inlineStr">
        <is>
          <t>La coherencia se enuncia en la introducción, pero las estrategias son genéricas y no se vinculan con áreas, competencias de área ni atributos del perfil.</t>
        </is>
      </c>
      <c r="F37" s="5" t="inlineStr">
        <is>
          <t>Añadir una matriz que relacione estrategias y métodos con las competencias de área de 4.4.2 y los atributos de 4.2.7.</t>
        </is>
      </c>
      <c r="G37" s="8" t="inlineStr">
        <is>
          <t>Pendiente</t>
        </is>
      </c>
    </row>
    <row r="38">
      <c r="A38" s="6" t="inlineStr">
        <is>
          <t>4.7</t>
        </is>
      </c>
      <c r="B38" s="5" t="inlineStr">
        <is>
          <t>Estrategias de evaluación coherentes con el Reglamento del Régimen Académico Estudiantil</t>
        </is>
      </c>
      <c r="C38" s="5" t="inlineStr">
        <is>
          <t>Art. 12 (Evaluación de aprendizajes)</t>
        </is>
      </c>
      <c r="D38" s="6" t="inlineStr">
        <is>
          <t>Parcial</t>
        </is>
      </c>
      <c r="E38" s="5" t="inlineStr">
        <is>
          <t>4.7 solo declara que «sus estrategias son coherentes con el Reglamento del Régimen Académico Estudiantil», sin citar artículos; el punto 5.3.1 sí cita «los Artículos 54 y 55 del reglamento».</t>
        </is>
      </c>
      <c r="F38" s="5" t="inlineStr">
        <is>
          <t>Citar en 4.7.4 los artículos del reglamento que fijan la escala, la nota mínima y las instancias de evaluación.</t>
        </is>
      </c>
      <c r="G38" s="8" t="inlineStr">
        <is>
          <t>Pendiente</t>
        </is>
      </c>
    </row>
    <row r="39">
      <c r="A39" s="6" t="inlineStr">
        <is>
          <t>4.8</t>
        </is>
      </c>
      <c r="B39" s="5" t="inlineStr">
        <is>
          <t>Prácticas preprofesionales incluidas en el plan de estudios</t>
        </is>
      </c>
      <c r="C39" s="5" t="inlineStr">
        <is>
          <t>Art. 8.II.4.8; Art. 12 (Prácticas)</t>
        </is>
      </c>
      <c r="D39" s="6" t="inlineStr">
        <is>
          <t>Parcial</t>
        </is>
      </c>
      <c r="E39" s="5" t="inlineStr">
        <is>
          <t>4.8 describe objetivos, niveles y supervisión, pero no declara su obligatoriedad ni las ubica en la malla: «las horas de práctica se registran como horas no presenciales de las asignaturas vinculadas», sin identificar esas asignaturas.</t>
        </is>
      </c>
      <c r="F39" s="5" t="inlineStr">
        <is>
          <t>Declarar la práctica como obligatoria e identificar las asignaturas que la acreditan o su equivalente en HIP.</t>
        </is>
      </c>
      <c r="G39" s="8" t="inlineStr">
        <is>
          <t>Pendiente</t>
        </is>
      </c>
    </row>
    <row r="40">
      <c r="A40" s="6" t="inlineStr">
        <is>
          <t>5.3.2</t>
        </is>
      </c>
      <c r="B40" s="5" t="inlineStr">
        <is>
          <t>Condiciones de permanencia, licencias, suspensiones, plazo máximo de reincorporación y abandono</t>
        </is>
      </c>
      <c r="C40" s="5" t="inlineStr">
        <is>
          <t>Art. 8.II.5; Art. 12</t>
        </is>
      </c>
      <c r="D40" s="6" t="inlineStr">
        <is>
          <t>Parcial</t>
        </is>
      </c>
      <c r="E40" s="5" t="inlineStr">
        <is>
          <t>Define permanencia, suspensión, abandono y readmisión, pero remite los plazos: «Los plazos máximos de suspensión y de reincorporación ... se establecen en el reglamento específico de la UMSA».</t>
        </is>
      </c>
      <c r="F40" s="5" t="inlineStr">
        <is>
          <t>Fijar en el plan el plazo máximo de suspensión y de reincorporación (en años o gestiones) o citar el artículo y la resolución exactos que lo fijan; incluir ese reglamento en el Cuadro 2 del punto 13.1.2.</t>
        </is>
      </c>
      <c r="G40" s="8" t="inlineStr">
        <is>
          <t>Pendiente</t>
        </is>
      </c>
    </row>
    <row r="41">
      <c r="A41" s="6" t="inlineStr">
        <is>
          <t>6 y 8.4</t>
        </is>
      </c>
      <c r="B41" s="5" t="inlineStr">
        <is>
          <t>Horas de investigación de los estudiantes en los institutos de la Carrera o Facultad</t>
        </is>
      </c>
      <c r="C41" s="5" t="inlineStr">
        <is>
          <t>Art. 12 (Investigación)</t>
        </is>
      </c>
      <c r="D41" s="6" t="inlineStr">
        <is>
          <t>Parcial</t>
        </is>
      </c>
      <c r="E41" s="5" t="inlineStr">
        <is>
          <t>8.4 fija 874 HIP dentro de los planes de asignatura, no en el Instituto; 13.2.2 solo prevé «Registro de horas de investigación de los estudiantes» sin cifra.</t>
        </is>
      </c>
      <c r="F41" s="5" t="inlineStr">
        <is>
          <t>Fijar un número mínimo de horas de investigación que el estudiante cumple en el IICCFA (o precisar cuántas de las 874 HIP se desarrollan y registran en el Instituto) y su forma de acreditación.</t>
        </is>
      </c>
      <c r="G41" s="8" t="inlineStr">
        <is>
          <t>Pendiente</t>
        </is>
      </c>
    </row>
    <row r="42">
      <c r="A42" s="6" t="inlineStr">
        <is>
          <t>9</t>
        </is>
      </c>
      <c r="B42" s="5" t="inlineStr">
        <is>
          <t>Bibliografía especializada y actualizada según planes de asignatura y número proyectado de estudiantes</t>
        </is>
      </c>
      <c r="C42" s="5" t="inlineStr">
        <is>
          <t>Art. 12 (Material bibliográfico)</t>
        </is>
      </c>
      <c r="D42" s="6" t="inlineStr">
        <is>
          <t>Parcial</t>
        </is>
      </c>
      <c r="E42" s="5" t="inlineStr">
        <is>
          <t>La suficiencia se mide con la demanda actual («24.117 inscripciones por asignatura de 2026 frente a 3.108 ejemplares»), sin proyección de estudiantes ni metas de adquisición; 7 asignaturas desactualizadas y 14 por actualizar.</t>
        </is>
      </c>
      <c r="F42" s="5" t="inlineStr">
        <is>
          <t>Añadir una meta de ejemplares por estudiante con base en la población proyectada y una lista priorizada de adquisiciones por asignatura y año de implementación.</t>
        </is>
      </c>
      <c r="G42" s="8" t="inlineStr">
        <is>
          <t>Pendiente</t>
        </is>
      </c>
    </row>
    <row r="43">
      <c r="A43" s="6" t="inlineStr">
        <is>
          <t>9.2</t>
        </is>
      </c>
      <c r="B43" s="5" t="inlineStr">
        <is>
          <t>Suscripción a revistas de reconocido prestigio</t>
        </is>
      </c>
      <c r="C43" s="5" t="inlineStr">
        <is>
          <t>Art. 8.II.9</t>
        </is>
      </c>
      <c r="D43" s="6" t="inlineStr">
        <is>
          <t>Parcial</t>
        </is>
      </c>
      <c r="E43" s="5" t="inlineStr">
        <is>
          <t>«La Carrera no cuenta con suscripciones propias a revistas especializadas de pago»; acceso vía Scopus y PERI de la UMSA.</t>
        </is>
      </c>
      <c r="F43" s="5" t="inlineStr">
        <is>
          <t>Mantener la explicación e indicar si se prevé alguna suscripción específica (p. ej., revistas de contabilidad y auditoría) en el presupuesto del punto 11.3.</t>
        </is>
      </c>
      <c r="G43" s="8" t="inlineStr">
        <is>
          <t>Pendiente</t>
        </is>
      </c>
    </row>
    <row r="44">
      <c r="A44" s="6" t="inlineStr">
        <is>
          <t>10</t>
        </is>
      </c>
      <c r="B44" s="5" t="inlineStr">
        <is>
          <t>Material multimedia adecuado, suficiente y actualizado; acceso a sistemas, Internet y wifi</t>
        </is>
      </c>
      <c r="C44" s="5" t="inlineStr">
        <is>
          <t>Art. 12 (Recursos educativos)</t>
        </is>
      </c>
      <c r="D44" s="6" t="inlineStr">
        <is>
          <t>Parcial</t>
        </is>
      </c>
      <c r="E44" s="5" t="inlineStr">
        <is>
          <t>El propio texto reconoce insuficiencia (106 puestos de laboratorio frente a 3.143 inscritos; Moodle con «limitaciones en su capacidad»), pero no cuantifica lo requerido.</t>
        </is>
      </c>
      <c r="F44" s="5" t="inlineStr">
        <is>
          <t>Cuantificar los requerimientos (puestos de laboratorio, licencias, capacidad de Moodle) y remitirlos a plazos del Cuadro 6 del punto 11.</t>
        </is>
      </c>
      <c r="G44" s="8" t="inlineStr">
        <is>
          <t>Pendiente</t>
        </is>
      </c>
    </row>
    <row r="45">
      <c r="A45" s="6" t="inlineStr">
        <is>
          <t>11.3</t>
        </is>
      </c>
      <c r="B45" s="5" t="inlineStr">
        <is>
          <t>Política presupuestaria y financiera</t>
        </is>
      </c>
      <c r="C45" s="5" t="inlineStr">
        <is>
          <t>Art. 8.II.11; Art. 11.V</t>
        </is>
      </c>
      <c r="D45" s="6" t="inlineStr">
        <is>
          <t>Parcial</t>
        </is>
      </c>
      <c r="E45" s="5" t="inlineStr">
        <is>
          <t>Presenta ejecución 2020 a 2026, lineamientos y fuentes, pero no estima el costo de los requerimientos (p. ej., «Apertura de 75 paralelos adicionales», ERP, renovación de equipos).</t>
        </is>
      </c>
      <c r="F45" s="5" t="inlineStr">
        <is>
          <t>Añadir una estimación de costos por requerimiento y gestión (horas docentes de los 75 paralelos, equipos, licencias) con su fuente de financiamiento.</t>
        </is>
      </c>
      <c r="G45" s="8" t="inlineStr">
        <is>
          <t>Pendiente</t>
        </is>
      </c>
    </row>
    <row r="46">
      <c r="A46" s="6" t="inlineStr">
        <is>
          <t>11.3.4</t>
        </is>
      </c>
      <c r="B46" s="5" t="inlineStr">
        <is>
          <t>Procedimiento de aprobación del rediseño</t>
        </is>
      </c>
      <c r="C46" s="5" t="inlineStr">
        <is>
          <t>Art. 15.II</t>
        </is>
      </c>
      <c r="D46" s="6" t="inlineStr">
        <is>
          <t>Parcial</t>
        </is>
      </c>
      <c r="E46" s="5" t="inlineStr">
        <is>
          <t>Fase 0 menciona solo «Evaluación por la Secretaría Académica, revisión del Consejo Académico Universitario, aprobación del Honorable Consejo Universitario».</t>
        </is>
      </c>
      <c r="F46" s="5" t="inlineStr">
        <is>
          <t>Completar con el Departamento de Evaluación y Acreditación, Asamblea Docente Estudiantil, Consejo de Carrera y Honorable Consejo Facultativo.</t>
        </is>
      </c>
      <c r="G46" s="8" t="inlineStr">
        <is>
          <t>Pendiente</t>
        </is>
      </c>
    </row>
    <row r="47">
      <c r="A47" s="6" t="inlineStr">
        <is>
          <t>11 y 12</t>
        </is>
      </c>
      <c r="B47" s="5" t="inlineStr">
        <is>
          <t>Sistema de monitoreo de la implementación (planes de asignatura, logro de elementos y unidades, recursos, estrategias, investigación formativa, interacción social)</t>
        </is>
      </c>
      <c r="C47" s="5" t="inlineStr">
        <is>
          <t>Art. 12 (Implementación)</t>
        </is>
      </c>
      <c r="D47" s="6" t="inlineStr">
        <is>
          <t>Parcial</t>
        </is>
      </c>
      <c r="E47" s="5" t="inlineStr">
        <is>
          <t>11.3.2 solo prevé seguimiento «mensual de la ejecución física y financiera»; 12.1.5 prevé evaluación bienal de insumos y proceso, sin indicadores para cumplimiento de planes de asignatura, investigación formativa ni interacción social.</t>
        </is>
      </c>
      <c r="F47" s="5" t="inlineStr">
        <is>
          <t>Incluir un sistema de monitoreo de la implementación con los seis aspectos del Art. 12, responsables, periodicidad e instrumentos.</t>
        </is>
      </c>
      <c r="G47" s="8" t="inlineStr">
        <is>
          <t>Pendiente</t>
        </is>
      </c>
    </row>
    <row r="48">
      <c r="A48" s="6" t="inlineStr">
        <is>
          <t>12.1.4</t>
        </is>
      </c>
      <c r="B48" s="5" t="inlineStr">
        <is>
          <t>Evaluar logro de unidades de competencia y competencia, eficiencia terminal, impacto en estudiantes y satisfacción de titulados</t>
        </is>
      </c>
      <c r="C48" s="5" t="inlineStr">
        <is>
          <t>Art. 12 (Evaluación)</t>
        </is>
      </c>
      <c r="D48" s="6" t="inlineStr">
        <is>
          <t>Parcial</t>
        </is>
      </c>
      <c r="E48" s="5" t="inlineStr">
        <is>
          <t>Incluye eficiencia de la trayectoria y satisfacción, pero el indicador de coherencia es «Porcentaje de asignaturas con resultados de aprendizaje y competencias asociadas», no el logro de las unidades de competencia.</t>
        </is>
      </c>
      <c r="F48" s="5" t="inlineStr">
        <is>
          <t>Añadir indicadores de logro de unidades de competencia y de la competencia (p. ej., porcentaje de estudiantes que alcanzan los criterios de desempeño por año) y de impacto en los estudiantes.</t>
        </is>
      </c>
      <c r="G48" s="8" t="inlineStr">
        <is>
          <t>Pendiente</t>
        </is>
      </c>
    </row>
    <row r="49">
      <c r="A49" s="6" t="inlineStr">
        <is>
          <t>13.1</t>
        </is>
      </c>
      <c r="B49" s="5" t="inlineStr">
        <is>
          <t>Reglamentos académicos y administrativos que viabilicen la implementación</t>
        </is>
      </c>
      <c r="C49" s="5" t="inlineStr">
        <is>
          <t>Art. 8.II.13; Art. 12 (Reglamentación)</t>
        </is>
      </c>
      <c r="D49" s="6" t="inlineStr">
        <is>
          <t>Parcial</t>
        </is>
      </c>
      <c r="E49" s="5" t="inlineStr">
        <is>
          <t>Solo el Reglamento de Modalidades de Graduación tiene texto (13.1.4); Prácticas, Interacción Social, Tutoría y Comisión de Evaluación figuran como «Elaborar».</t>
        </is>
      </c>
      <c r="F49" s="5" t="inlineStr">
        <is>
          <t>Adjuntar como anexos al menos los reglamentos de prácticas preprofesionales, interacción social y cursos de temporada y mesas, o su texto mínimo aprobado.</t>
        </is>
      </c>
      <c r="G49" s="8" t="inlineStr">
        <is>
          <t>Pendiente</t>
        </is>
      </c>
    </row>
    <row r="50">
      <c r="A50" s="6" t="inlineStr">
        <is>
          <t>13.2</t>
        </is>
      </c>
      <c r="B50" s="5" t="inlineStr">
        <is>
          <t>Reglamentación del centro de investigación</t>
        </is>
      </c>
      <c r="C50" s="5" t="inlineStr">
        <is>
          <t>Art. 8.II.13</t>
        </is>
      </c>
      <c r="D50" s="6" t="inlineStr">
        <is>
          <t>Parcial</t>
        </is>
      </c>
      <c r="E50" s="5" t="inlineStr">
        <is>
          <t>13.2.2 solo da «Lineamientos del reglamento interno del Instituto», que «se actualizará».</t>
        </is>
      </c>
      <c r="F50" s="5" t="inlineStr">
        <is>
          <t>Adjuntar el reglamento interno vigente del IICCFA o el proyecto actualizado.</t>
        </is>
      </c>
      <c r="G50" s="8" t="inlineStr">
        <is>
          <t>Pendiente</t>
        </is>
      </c>
    </row>
    <row r="51">
      <c r="A51" s="6" t="inlineStr">
        <is>
          <t>15</t>
        </is>
      </c>
      <c r="B51" s="5" t="inlineStr">
        <is>
          <t>Mobiliario, equipamiento y materiales requeridos para la formación</t>
        </is>
      </c>
      <c r="C51" s="5" t="inlineStr">
        <is>
          <t>Art. 12 (Mobiliario)</t>
        </is>
      </c>
      <c r="D51" s="6" t="inlineStr">
        <is>
          <t>Parcial</t>
        </is>
      </c>
      <c r="E51" s="5" t="inlineStr">
        <is>
          <t>El punto es sobre todo inventario existente; los requerimientos son genéricos: «Se prevé realizar la adquisición de los equipos (data show, cámaras de seguridad y otros)».</t>
        </is>
      </c>
      <c r="F51" s="5" t="inlineStr">
        <is>
          <t>Añadir un cuadro de requerimientos con cantidades (computadoras, proyectores, mobiliario móvil, casilleros, extintores) y plazo.</t>
        </is>
      </c>
      <c r="G51" s="8" t="inlineStr">
        <is>
          <t>Pendiente</t>
        </is>
      </c>
    </row>
    <row r="52">
      <c r="A52" s="6" t="inlineStr">
        <is>
          <t>16.1</t>
        </is>
      </c>
      <c r="B52" s="5" t="inlineStr">
        <is>
          <t>Cuadro de homologación de asignaturas para docentes titulares</t>
        </is>
      </c>
      <c r="C52" s="5" t="inlineStr">
        <is>
          <t>Art. 12 (Disposiciones); Art. 14</t>
        </is>
      </c>
      <c r="D52" s="6" t="inlineStr">
        <is>
          <t>Parcial</t>
        </is>
      </c>
      <c r="E52" s="5" t="inlineStr">
        <is>
          <t>Se usa el mismo Cuadro 1 «para los docentes titulares»; no hay cuadro propio con docentes, cátedras ni compensación de horas; CA.txt sí tenía un cuadro separado (6.4).</t>
        </is>
      </c>
      <c r="F52" s="5" t="inlineStr">
        <is>
          <t>Anexar un cuadro específico de homologación de cátedra para titulares (asignatura 2013, asignatura 2027, carga horaria antes y después, compensación).</t>
        </is>
      </c>
      <c r="G52" s="8" t="inlineStr">
        <is>
          <t>Pendiente</t>
        </is>
      </c>
    </row>
    <row r="53">
      <c r="A53" s="6" t="inlineStr">
        <is>
          <t>16.3</t>
        </is>
      </c>
      <c r="B53" s="5" t="inlineStr">
        <is>
          <t>Política y reglamento de extinción del plan anterior</t>
        </is>
      </c>
      <c r="C53" s="5" t="inlineStr">
        <is>
          <t>Art. 8.II.16; Art. 12</t>
        </is>
      </c>
      <c r="D53" s="6" t="inlineStr">
        <is>
          <t>Parcial</t>
        </is>
      </c>
      <c r="E53" s="5" t="inlineStr">
        <is>
          <t>16.3 contiene la política; no se anexa un reglamento de extinción.</t>
        </is>
      </c>
      <c r="F53" s="5" t="inlineStr">
        <is>
          <t>Formalizar 16.3 como reglamento de extinción o indicar que su aprobación se hará con la resolución del rediseño.</t>
        </is>
      </c>
      <c r="G53" s="8" t="inlineStr">
        <is>
          <t>Pendiente</t>
        </is>
      </c>
    </row>
    <row r="54">
      <c r="A54" s="6" t="inlineStr">
        <is>
          <t>16 y 13</t>
        </is>
      </c>
      <c r="B54" s="5" t="inlineStr">
        <is>
          <t>Transitabilidad: metodología de transición y reglamentos específicos establecidos con antelación</t>
        </is>
      </c>
      <c r="C54" s="5" t="inlineStr">
        <is>
          <t>Art. 14</t>
        </is>
      </c>
      <c r="D54" s="6" t="inlineStr">
        <is>
          <t>Parcial</t>
        </is>
      </c>
      <c r="E54" s="5" t="inlineStr">
        <is>
          <t>16.1.1 enuncia el no perjuicio y 13 Art. 45 el plazo de tres años; la compensación docente es genérica («se le asignan horas equivalentes en investigación, interacción social, tutoría...») y no hay reglamento de transición.</t>
        </is>
      </c>
      <c r="F54" s="5" t="inlineStr">
        <is>
          <t>Precisar el procedimiento de migración y la compensación horaria docente por asignatura, y aprobar un reglamento de transición antes de 2027.</t>
        </is>
      </c>
      <c r="G54" s="8" t="inlineStr">
        <is>
          <t>Pendiente</t>
        </is>
      </c>
    </row>
    <row r="55">
      <c r="A55" s="6" t="inlineStr">
        <is>
          <t>General</t>
        </is>
      </c>
      <c r="B55" s="5" t="inlineStr">
        <is>
          <t>Cuadro comparativo de la situación anterior y posterior con el nivel de innovación</t>
        </is>
      </c>
      <c r="C55" s="5" t="inlineStr">
        <is>
          <t>Art. 13</t>
        </is>
      </c>
      <c r="D55" s="6" t="inlineStr">
        <is>
          <t>Parcial</t>
        </is>
      </c>
      <c r="E55" s="5" t="inlineStr">
        <is>
          <t>No existe en los puntos 5 a 16; solo el punto 3 tiene el «Cuadro 30. Matriz comparativa entre el Plan 2013, la propuesta y los referentes», cualitativo y sin cifras de horas, créditos, asignaturas o modalidades.</t>
        </is>
      </c>
      <c r="F55" s="5" t="inlineStr">
        <is>
          <t>Adjuntar como anexo un cuadro comparativo Plan 2013 frente a Rediseño (nivel: rediseño; perfil, áreas, asignaturas, horas, créditos, grados, modalidades de graduación, prácticas, investigación, interacción social).</t>
        </is>
      </c>
      <c r="G55" s="8" t="inlineStr">
        <is>
          <t>Pendiente</t>
        </is>
      </c>
    </row>
    <row r="56">
      <c r="A56" s="6" t="inlineStr">
        <is>
          <t>1.1</t>
        </is>
      </c>
      <c r="B56" s="5" t="inlineStr">
        <is>
          <t>Facultad</t>
        </is>
      </c>
      <c r="C56" s="5" t="inlineStr">
        <is>
          <t>Art. 8.II.1</t>
        </is>
      </c>
      <c r="D56" s="6" t="inlineStr">
        <is>
          <t>Cumple</t>
        </is>
      </c>
      <c r="E56" s="5" t="inlineStr">
        <is>
          <t>1.1 identifica la Facultad de Ciencias Económicas y Financieras y las carreras que la integran.</t>
        </is>
      </c>
      <c r="F56" s="5" t="inlineStr">
        <is>
          <t>Ninguna.</t>
        </is>
      </c>
      <c r="G56" s="8" t="inlineStr">
        <is>
          <t>No aplica</t>
        </is>
      </c>
    </row>
    <row r="57">
      <c r="A57" s="6" t="inlineStr">
        <is>
          <t>1.2</t>
        </is>
      </c>
      <c r="B57" s="5" t="inlineStr">
        <is>
          <t>Programa/Carrera</t>
        </is>
      </c>
      <c r="C57" s="5" t="inlineStr">
        <is>
          <t>Art. 8.II.1</t>
        </is>
      </c>
      <c r="D57" s="6" t="inlineStr">
        <is>
          <t>Cumple</t>
        </is>
      </c>
      <c r="E57" s="5" t="inlineStr">
        <is>
          <t>1.2 identifica la Carrera de Contaduría Pública y la trayectoria del cambio de nombre (HCU 186/2000, HCC 142/2011, HCF 613/2011, HCU 438/2012).</t>
        </is>
      </c>
      <c r="F57" s="5" t="inlineStr">
        <is>
          <t>Ninguna.</t>
        </is>
      </c>
      <c r="G57" s="8" t="inlineStr">
        <is>
          <t>No aplica</t>
        </is>
      </c>
    </row>
    <row r="58">
      <c r="A58" s="6" t="inlineStr">
        <is>
          <t>1.4</t>
        </is>
      </c>
      <c r="B58" s="5" t="inlineStr">
        <is>
          <t>Resolución(es) HCU que aprobaron planes de estudio anteriores</t>
        </is>
      </c>
      <c r="C58" s="5" t="inlineStr">
        <is>
          <t>Art. 8.II.1</t>
        </is>
      </c>
      <c r="D58" s="6" t="inlineStr">
        <is>
          <t>Cumple</t>
        </is>
      </c>
      <c r="E58" s="5" t="inlineStr">
        <is>
          <t>Tabla de 1.4 con Plan 1999 (HCU 524/2004), Plan 2013 (HCU 025/2013) y Plan 2024 (HCU 233/2024, abrogada por HCU 016/2025).</t>
        </is>
      </c>
      <c r="F58" s="5" t="inlineStr">
        <is>
          <t>Valorar si el currículum aprobado por la HCU 057/1974 (citado en 1.3) debe figurar también en la tabla como primer plan.</t>
        </is>
      </c>
      <c r="G58" s="8" t="inlineStr">
        <is>
          <t>No aplica</t>
        </is>
      </c>
    </row>
    <row r="59">
      <c r="A59" s="6" t="inlineStr">
        <is>
          <t>1.5</t>
        </is>
      </c>
      <c r="B59" s="5" t="inlineStr">
        <is>
          <t>Grado académico terminal</t>
        </is>
      </c>
      <c r="C59" s="5" t="inlineStr">
        <is>
          <t>Art. 8.II.1 / Art. 12</t>
        </is>
      </c>
      <c r="D59" s="6" t="inlineStr">
        <is>
          <t>Cumple</t>
        </is>
      </c>
      <c r="E59" s="5" t="inlineStr">
        <is>
          <t>1.5: Licenciatura en Contaduría Pública, cinco años, 6.000 horas académicas.</t>
        </is>
      </c>
      <c r="F59" s="5" t="inlineStr">
        <is>
          <t>Ninguna.</t>
        </is>
      </c>
      <c r="G59" s="8" t="inlineStr">
        <is>
          <t>No aplica</t>
        </is>
      </c>
    </row>
    <row r="60">
      <c r="A60" s="6" t="inlineStr">
        <is>
          <t>1.6</t>
        </is>
      </c>
      <c r="B60" s="5" t="inlineStr">
        <is>
          <t>Grado(s) intermedio(s) y descripción clara</t>
        </is>
      </c>
      <c r="C60" s="5" t="inlineStr">
        <is>
          <t>Art. 8.II.1 / Art. 12</t>
        </is>
      </c>
      <c r="D60" s="6" t="inlineStr">
        <is>
          <t>Cumple</t>
        </is>
      </c>
      <c r="E60" s="5" t="inlineStr">
        <is>
          <t>1.6 describe Técnico Universitario Superior (tercer año y examen de grado, HCU 290/2016) y Técnico Universitario Medio (segundo año, HCU 426/2024), con tabla de grados y títulos.</t>
        </is>
      </c>
      <c r="F60" s="5" t="inlineStr">
        <is>
          <t>Revisar el respaldo normativo citado para la modalidad de graduación (ver hallazgo de coherencia sobre el Artículo 66 del Reglamento del Régimen Académico Estudiantil).</t>
        </is>
      </c>
      <c r="G60" s="8" t="inlineStr">
        <is>
          <t>No aplica</t>
        </is>
      </c>
    </row>
    <row r="61">
      <c r="A61" s="6" t="inlineStr">
        <is>
          <t>1.6 / 1.9</t>
        </is>
      </c>
      <c r="B61" s="5" t="inlineStr">
        <is>
          <t>Denominación de grados y diplomas intermedios no similar al terminal</t>
        </is>
      </c>
      <c r="C61" s="5" t="inlineStr">
        <is>
          <t>Art. 12</t>
        </is>
      </c>
      <c r="D61" s="6" t="inlineStr">
        <is>
          <t>Cumple</t>
        </is>
      </c>
      <c r="E61" s="5" t="inlineStr">
        <is>
          <t>Auxiliar en Contabilidad General y Contador General / Técnico Universitario Superior en Contabilidad General se distinguen de Licenciatura en Contaduría Pública.</t>
        </is>
      </c>
      <c r="F61" s="5" t="inlineStr">
        <is>
          <t>Ninguna.</t>
        </is>
      </c>
      <c r="G61" s="8" t="inlineStr">
        <is>
          <t>No aplica</t>
        </is>
      </c>
    </row>
    <row r="62">
      <c r="A62" s="6" t="inlineStr">
        <is>
          <t>1.7</t>
        </is>
      </c>
      <c r="B62" s="5" t="inlineStr">
        <is>
          <t>Sede(s)</t>
        </is>
      </c>
      <c r="C62" s="5" t="inlineStr">
        <is>
          <t>Art. 8.II.1</t>
        </is>
      </c>
      <c r="D62" s="6" t="inlineStr">
        <is>
          <t>Cumple</t>
        </is>
      </c>
      <c r="E62" s="5" t="inlineStr">
        <is>
          <t>1.7: Sede Central La Paz (Nava Morales y Monoblock) y programa desconcentrado en Chulumani y Caranavi.</t>
        </is>
      </c>
      <c r="F62" s="5" t="inlineStr">
        <is>
          <t>Ninguna, salvo verificar la mención a San Buenaventura del punto 15 (ver coherencia).</t>
        </is>
      </c>
      <c r="G62" s="8" t="inlineStr">
        <is>
          <t>No aplica</t>
        </is>
      </c>
    </row>
    <row r="63">
      <c r="A63" s="6" t="inlineStr">
        <is>
          <t>1.8 / 1.9</t>
        </is>
      </c>
      <c r="B63" s="5" t="inlineStr">
        <is>
          <t>Diploma académico terminal e intermedios</t>
        </is>
      </c>
      <c r="C63" s="5" t="inlineStr">
        <is>
          <t>Art. 8.II.1</t>
        </is>
      </c>
      <c r="D63" s="6" t="inlineStr">
        <is>
          <t>Cumple</t>
        </is>
      </c>
      <c r="E63" s="5" t="inlineStr">
        <is>
          <t>1.8 Licenciado(a) en Contaduría Pública (HCU 438/2012); 1.9 dos diplomas intermedios con su resolución.</t>
        </is>
      </c>
      <c r="F63" s="5" t="inlineStr">
        <is>
          <t>Ninguna.</t>
        </is>
      </c>
      <c r="G63" s="8" t="inlineStr">
        <is>
          <t>No aplica</t>
        </is>
      </c>
    </row>
    <row r="64">
      <c r="A64" s="6" t="inlineStr">
        <is>
          <t>1.10 / 1.11</t>
        </is>
      </c>
      <c r="B64" s="5" t="inlineStr">
        <is>
          <t>Título profesional y títulos intermedios</t>
        </is>
      </c>
      <c r="C64" s="5" t="inlineStr">
        <is>
          <t>Art. 8.II.1</t>
        </is>
      </c>
      <c r="D64" s="6" t="inlineStr">
        <is>
          <t>Cumple</t>
        </is>
      </c>
      <c r="E64" s="5" t="inlineStr">
        <is>
          <t>1.10 título en provisión nacional (HCU 438/2012); 1.11 Contador General (HCU 290/2016) y Auxiliar en Contabilidad General (HCU 426/2024).</t>
        </is>
      </c>
      <c r="F64" s="5" t="inlineStr">
        <is>
          <t>Uniformar la redacción del título intermedio de nivel medio (ver coherencia).</t>
        </is>
      </c>
      <c r="G64" s="8" t="inlineStr">
        <is>
          <t>No aplica</t>
        </is>
      </c>
    </row>
    <row r="65">
      <c r="A65" s="6" t="inlineStr">
        <is>
          <t>1.12</t>
        </is>
      </c>
      <c r="B65" s="5" t="inlineStr">
        <is>
          <t>Modalidad(es) de docencia, determinación precisa</t>
        </is>
      </c>
      <c r="C65" s="5" t="inlineStr">
        <is>
          <t>Art. 8.II.1 / Art. 12</t>
        </is>
      </c>
      <c r="D65" s="6" t="inlineStr">
        <is>
          <t>Cumple</t>
        </is>
      </c>
      <c r="E65" s="5" t="inlineStr">
        <is>
          <t>1.12: «modalidad presencial, bajo régimen anual, en dos turnos»; la plataforma virtual se aclara como apoyo «sin sustituir las horas presenciales».</t>
        </is>
      </c>
      <c r="F65" s="5" t="inlineStr">
        <is>
          <t>Ninguna.</t>
        </is>
      </c>
      <c r="G65" s="8" t="inlineStr">
        <is>
          <t>No aplica</t>
        </is>
      </c>
    </row>
    <row r="66">
      <c r="A66" s="6" t="inlineStr">
        <is>
          <t>1.13</t>
        </is>
      </c>
      <c r="B66" s="5" t="inlineStr">
        <is>
          <t>Otras características</t>
        </is>
      </c>
      <c r="C66" s="5" t="inlineStr">
        <is>
          <t>Art. 8.II.1</t>
        </is>
      </c>
      <c r="D66" s="6" t="inlineStr">
        <is>
          <t>Cumple</t>
        </is>
      </c>
      <c r="E66" s="5" t="inlineStr">
        <is>
          <t>1.13 incluye acreditación, nivel de innovación (Art. 5), declaratoria de necesidad (HCF 1057/2026), enfoque formativo y aplicación (Art. 16).</t>
        </is>
      </c>
      <c r="F66" s="5" t="inlineStr">
        <is>
          <t>Indicar la gestión concreta de aplicación del rediseño, coherente con el cronograma del punto 16.2, y mencionar el principio de transitabilidad del Art. 14.</t>
        </is>
      </c>
      <c r="G66" s="8" t="inlineStr">
        <is>
          <t>No aplica</t>
        </is>
      </c>
    </row>
    <row r="67">
      <c r="A67" s="6" t="inlineStr">
        <is>
          <t>2.1</t>
        </is>
      </c>
      <c r="B67" s="5" t="inlineStr">
        <is>
          <t>Datos generales del Programa/Carrera</t>
        </is>
      </c>
      <c r="C67" s="5" t="inlineStr">
        <is>
          <t>Art. 8.II.2</t>
        </is>
      </c>
      <c r="D67" s="6" t="inlineStr">
        <is>
          <t>Cumple</t>
        </is>
      </c>
      <c r="E67" s="5" t="inlineStr">
        <is>
          <t>Cuadro de datos generales de 2.1 (sede, plan vigente, grados, modalidad, estudiantes, docentes, personal, unidades, acreditación).</t>
        </is>
      </c>
      <c r="F67" s="5" t="inlineStr">
        <is>
          <t>Ninguna.</t>
        </is>
      </c>
      <c r="G67" s="8" t="inlineStr">
        <is>
          <t>No aplica</t>
        </is>
      </c>
    </row>
    <row r="68">
      <c r="A68" s="6" t="inlineStr">
        <is>
          <t>2.2</t>
        </is>
      </c>
      <c r="B68" s="5" t="inlineStr">
        <is>
          <t>Misión, visión de la Carrera</t>
        </is>
      </c>
      <c r="C68" s="5" t="inlineStr">
        <is>
          <t>Art. 8.II.2</t>
        </is>
      </c>
      <c r="D68" s="6" t="inlineStr">
        <is>
          <t>Cumple</t>
        </is>
      </c>
      <c r="E68" s="5" t="inlineStr">
        <is>
          <t>2.2.1 Visión, 2.2.2 Misión y 2.2.3 Valores.</t>
        </is>
      </c>
      <c r="F68" s="5" t="inlineStr">
        <is>
          <t>Indicar la resolución o instancia que aprobó la misión y la visión.</t>
        </is>
      </c>
      <c r="G68" s="8" t="inlineStr">
        <is>
          <t>No aplica</t>
        </is>
      </c>
    </row>
    <row r="69">
      <c r="A69" s="6" t="inlineStr">
        <is>
          <t>2.5</t>
        </is>
      </c>
      <c r="B69" s="5" t="inlineStr">
        <is>
          <t>Caracterización del Programa/Carrera</t>
        </is>
      </c>
      <c r="C69" s="5" t="inlineStr">
        <is>
          <t>Art. 8.II.2</t>
        </is>
      </c>
      <c r="D69" s="6" t="inlineStr">
        <is>
          <t>Cumple</t>
        </is>
      </c>
      <c r="E69" s="5" t="inlineStr">
        <is>
          <t>2.5.1 Reseña histórica y 2.5.2 Unidades dependientes (Instituto y Postgrado).</t>
        </is>
      </c>
      <c r="F69" s="5" t="inlineStr">
        <is>
          <t>Ninguna.</t>
        </is>
      </c>
      <c r="G69" s="8" t="inlineStr">
        <is>
          <t>No aplica</t>
        </is>
      </c>
    </row>
    <row r="70">
      <c r="A70" s="6" t="inlineStr">
        <is>
          <t>2.6</t>
        </is>
      </c>
      <c r="B70" s="5" t="inlineStr">
        <is>
          <t>Organigrama del Programa/Carrera</t>
        </is>
      </c>
      <c r="C70" s="5" t="inlineStr">
        <is>
          <t>Art. 8.II.2</t>
        </is>
      </c>
      <c r="D70" s="6" t="inlineStr">
        <is>
          <t>Cumple</t>
        </is>
      </c>
      <c r="E70" s="5" t="inlineStr">
        <is>
          <t>2.6 presenta el organigrama de la estructura actual y describe sus instancias; aclara que el organigrama aprobado es el de la HCU 139/2013.</t>
        </is>
      </c>
      <c r="F70" s="5" t="inlineStr">
        <is>
          <t>Verificar que la figura del organigrama esté insertada en la versión final y precisar la dependencia de la Unidad de Postgrado (ver coherencia).</t>
        </is>
      </c>
      <c r="G70" s="8" t="inlineStr">
        <is>
          <t>No aplica</t>
        </is>
      </c>
    </row>
    <row r="71">
      <c r="A71" s="6" t="inlineStr">
        <is>
          <t>2.7</t>
        </is>
      </c>
      <c r="B71" s="5" t="inlineStr">
        <is>
          <t>Estadísticas del Programa/Carrera</t>
        </is>
      </c>
      <c r="C71" s="5" t="inlineStr">
        <is>
          <t>Art. 8.II.2</t>
        </is>
      </c>
      <c r="D71" s="6" t="inlineStr">
        <is>
          <t>Cumple</t>
        </is>
      </c>
      <c r="E71" s="5" t="inlineStr">
        <is>
          <t>2.7.1 (Cuadros 6 a 10, docentes) y 2.7.2 (Cuadros 11 a 13, matrícula, titulados, estudiantes por paralelo).</t>
        </is>
      </c>
      <c r="F71" s="5" t="inlineStr">
        <is>
          <t>Considerar agregar egresados por año, tasas de aprobación o reprobación y abandono, que luego se usan en el punto 3 y en la evaluación curricular.</t>
        </is>
      </c>
      <c r="G71" s="8" t="inlineStr">
        <is>
          <t>No aplica</t>
        </is>
      </c>
    </row>
    <row r="72">
      <c r="A72" s="6" t="inlineStr">
        <is>
          <t>3.1</t>
        </is>
      </c>
      <c r="B72" s="5" t="inlineStr">
        <is>
          <t>Análisis de resultados con planes anteriores (estadístico y cualitativo)</t>
        </is>
      </c>
      <c r="C72" s="5" t="inlineStr">
        <is>
          <t>Art. 8.II.3</t>
        </is>
      </c>
      <c r="D72" s="6" t="inlineStr">
        <is>
          <t>Cumple</t>
        </is>
      </c>
      <c r="E72" s="5" t="inlineStr">
        <is>
          <t>3.1.2 Cuadros 4 a 7 (indicadores, matrícula, titulación, cargas) y 3.1.3 estudio Ipsos CIESMORI 2025 (Cuadros 8 y 9).</t>
        </is>
      </c>
      <c r="F72" s="5" t="inlineStr">
        <is>
          <t>Ninguna.</t>
        </is>
      </c>
      <c r="G72" s="8" t="inlineStr">
        <is>
          <t>No aplica</t>
        </is>
      </c>
    </row>
    <row r="73">
      <c r="A73" s="6" t="inlineStr">
        <is>
          <t>3.2</t>
        </is>
      </c>
      <c r="B73" s="5" t="inlineStr">
        <is>
          <t>Análisis de las políticas y normas (internacionales, nacionales y universitarias)</t>
        </is>
      </c>
      <c r="C73" s="5" t="inlineStr">
        <is>
          <t>Art. 8.II.3 / Art. 12</t>
        </is>
      </c>
      <c r="D73" s="6" t="inlineStr">
        <is>
          <t>Cumple</t>
        </is>
      </c>
      <c r="E73" s="5" t="inlineStr">
        <is>
          <t>3.2.1 normativa universitaria (Cuadro 11), 3.2.2 nacional (Cuadros 13 y 14), 3.2.3 internacional (Cuadro 15) y 3.2.4 brechas (Cuadro 16).</t>
        </is>
      </c>
      <c r="F73" s="5" t="inlineStr">
        <is>
          <t>Ninguna.</t>
        </is>
      </c>
      <c r="G73" s="8" t="inlineStr">
        <is>
          <t>No aplica</t>
        </is>
      </c>
    </row>
    <row r="74">
      <c r="A74" s="6" t="inlineStr">
        <is>
          <t>3.2.1</t>
        </is>
      </c>
      <c r="B74" s="5" t="inlineStr">
        <is>
          <t>Respuesta a los criterios generales de calidad</t>
        </is>
      </c>
      <c r="C74" s="5" t="inlineStr">
        <is>
          <t>Art. 11</t>
        </is>
      </c>
      <c r="D74" s="6" t="inlineStr">
        <is>
          <t>Cumple</t>
        </is>
      </c>
      <c r="E74" s="5" t="inlineStr">
        <is>
          <t>Cuadro 12 relaciona cada criterio del Art. 11 con la respuesta del rediseño.</t>
        </is>
      </c>
      <c r="F74" s="5" t="inlineStr">
        <is>
          <t>Ninguna.</t>
        </is>
      </c>
      <c r="G74" s="8" t="inlineStr">
        <is>
          <t>No aplica</t>
        </is>
      </c>
    </row>
    <row r="75">
      <c r="A75" s="6" t="inlineStr">
        <is>
          <t>3.3</t>
        </is>
      </c>
      <c r="B75" s="5" t="inlineStr">
        <is>
          <t>Contexto económico, mercado laboral e inserción laboral</t>
        </is>
      </c>
      <c r="C75" s="5" t="inlineStr">
        <is>
          <t>Art. 8.II.3</t>
        </is>
      </c>
      <c r="D75" s="6" t="inlineStr">
        <is>
          <t>Cumple</t>
        </is>
      </c>
      <c r="E75" s="5" t="inlineStr">
        <is>
          <t>3.3.1 contexto económico (Cuadro 17), 3.3.2 demanda de empresas (BID), 3.3.3 inserción (Cuadro 19), 3.3.4 brechas (Cuadros 21 y 22).</t>
        </is>
      </c>
      <c r="F75" s="5" t="inlineStr">
        <is>
          <t>Ninguna.</t>
        </is>
      </c>
      <c r="G75" s="8" t="inlineStr">
        <is>
          <t>No aplica</t>
        </is>
      </c>
    </row>
    <row r="76">
      <c r="A76" s="6" t="inlineStr">
        <is>
          <t>3.4</t>
        </is>
      </c>
      <c r="B76" s="5" t="inlineStr">
        <is>
          <t>Cambios y tendencias de la ciencia y tecnología a nivel global</t>
        </is>
      </c>
      <c r="C76" s="5" t="inlineStr">
        <is>
          <t>Art. 8.II.3</t>
        </is>
      </c>
      <c r="D76" s="6" t="inlineStr">
        <is>
          <t>Cumple</t>
        </is>
      </c>
      <c r="E76" s="5" t="inlineStr">
        <is>
          <t>3.4.1 a 3.4.4 con Cuadros 23 a 26.</t>
        </is>
      </c>
      <c r="F76" s="5" t="inlineStr">
        <is>
          <t>Ninguna.</t>
        </is>
      </c>
      <c r="G76" s="8" t="inlineStr">
        <is>
          <t>No aplica</t>
        </is>
      </c>
    </row>
    <row r="77">
      <c r="A77" s="6" t="inlineStr">
        <is>
          <t>3.5.5</t>
        </is>
      </c>
      <c r="B77" s="5" t="inlineStr">
        <is>
          <t>Justificación vinculante con misión, perfil, competencias y contenidos</t>
        </is>
      </c>
      <c r="C77" s="5" t="inlineStr">
        <is>
          <t>Art. 12</t>
        </is>
      </c>
      <c r="D77" s="6" t="inlineStr">
        <is>
          <t>Cumple</t>
        </is>
      </c>
      <c r="E77" s="5" t="inlineStr">
        <is>
          <t>Cuadro 31 deriva las necesidades de formación y las asocia a la dimensión del perfil.</t>
        </is>
      </c>
      <c r="F77" s="5" t="inlineStr">
        <is>
          <t>Ninguna.</t>
        </is>
      </c>
      <c r="G77" s="8" t="inlineStr">
        <is>
          <t>No aplica</t>
        </is>
      </c>
    </row>
    <row r="78">
      <c r="A78" s="6" t="inlineStr">
        <is>
          <t>4.1.1</t>
        </is>
      </c>
      <c r="B78" s="5" t="inlineStr">
        <is>
          <t>Fundamentos epistemológicos</t>
        </is>
      </c>
      <c r="C78" s="5" t="inlineStr">
        <is>
          <t>Art. 8.II.4.1; Art. 12 (Fundamentos curriculares)</t>
        </is>
      </c>
      <c r="D78" s="6" t="inlineStr">
        <is>
          <t>Cumple</t>
        </is>
      </c>
      <c r="E78" s="5" t="inlineStr">
        <is>
          <t>4.1.1 desarrolla tres paradigmas: «El Neopositivismo», «El Pensamiento Complejo» y «El Enfoque Sociocrítico».</t>
        </is>
      </c>
      <c r="F78" s="5" t="inlineStr">
        <is>
          <t>Ninguna sustantiva.</t>
        </is>
      </c>
      <c r="G78" s="8" t="inlineStr">
        <is>
          <t>No aplica</t>
        </is>
      </c>
    </row>
    <row r="79">
      <c r="A79" s="6" t="inlineStr">
        <is>
          <t>4.1.2</t>
        </is>
      </c>
      <c r="B79" s="5" t="inlineStr">
        <is>
          <t>Fundamentos sociológicos antropológicos</t>
        </is>
      </c>
      <c r="C79" s="5" t="inlineStr">
        <is>
          <t>Art. 8.II.4.1; Art. 12</t>
        </is>
      </c>
      <c r="D79" s="6" t="inlineStr">
        <is>
          <t>Cumple</t>
        </is>
      </c>
      <c r="E79" s="5" t="inlineStr">
        <is>
          <t>4.1.2 trata pertinencia social, interculturalidad, transformación tecnológica, diversificación del mercado y cultura ética, con datos del diagnóstico.</t>
        </is>
      </c>
      <c r="F79" s="5" t="inlineStr">
        <is>
          <t>Eliminar el párrafo duplicado (ver coherencia).</t>
        </is>
      </c>
      <c r="G79" s="8" t="inlineStr">
        <is>
          <t>No aplica</t>
        </is>
      </c>
    </row>
    <row r="80">
      <c r="A80" s="6" t="inlineStr">
        <is>
          <t>4.1.3</t>
        </is>
      </c>
      <c r="B80" s="5" t="inlineStr">
        <is>
          <t>Fundamentos psicológicos</t>
        </is>
      </c>
      <c r="C80" s="5" t="inlineStr">
        <is>
          <t>Art. 8.II.4.1; Art. 12</t>
        </is>
      </c>
      <c r="D80" s="6" t="inlineStr">
        <is>
          <t>Cumple</t>
        </is>
      </c>
      <c r="E80" s="5" t="inlineStr">
        <is>
          <t>«El plan se sustenta en el enfoque constructivista del aprendizaje» y adopta «la pedagogía dialogante constructivista», con roles de estudiante y docente.</t>
        </is>
      </c>
      <c r="F80" s="5" t="inlineStr">
        <is>
          <t>Ninguna sustantiva.</t>
        </is>
      </c>
      <c r="G80" s="8" t="inlineStr">
        <is>
          <t>No aplica</t>
        </is>
      </c>
    </row>
    <row r="81">
      <c r="A81" s="6" t="inlineStr">
        <is>
          <t>4.1 a 4.8</t>
        </is>
      </c>
      <c r="B81" s="5" t="inlineStr">
        <is>
          <t>Transitabilidad</t>
        </is>
      </c>
      <c r="C81" s="5" t="inlineStr">
        <is>
          <t>Art. 14</t>
        </is>
      </c>
      <c r="D81" s="6" t="inlineStr">
        <is>
          <t>Cumple</t>
        </is>
      </c>
      <c r="E81" s="5" t="inlineStr">
        <is>
          <t>No se trata en el punto 4, pero el punto 16.1.1 enuncia «Transitabilidad y no perjuicio».</t>
        </is>
      </c>
      <c r="F81" s="5" t="inlineStr">
        <is>
          <t>Opcional: mencionar la transitabilidad en 4.3.2 (Flexibilidad) con remisión al punto 16.</t>
        </is>
      </c>
      <c r="G81" s="8" t="inlineStr">
        <is>
          <t>No aplica</t>
        </is>
      </c>
    </row>
    <row r="82">
      <c r="A82" s="6" t="inlineStr">
        <is>
          <t>4.1.5</t>
        </is>
      </c>
      <c r="B82" s="5" t="inlineStr">
        <is>
          <t>Fundamentos axiológicos</t>
        </is>
      </c>
      <c r="C82" s="5" t="inlineStr">
        <is>
          <t>Art. 8.II.4.1; Art. 12</t>
        </is>
      </c>
      <c r="D82" s="6" t="inlineStr">
        <is>
          <t>Cumple</t>
        </is>
      </c>
      <c r="E82" s="5" t="inlineStr">
        <is>
          <t>4.1.5 enuncia seis valores: excelencia profesional, integridad, innovación, adaptabilidad, pensamiento crítico y responsabilidad social.</t>
        </is>
      </c>
      <c r="F82" s="5" t="inlineStr">
        <is>
          <t>Ninguna sustantiva.</t>
        </is>
      </c>
      <c r="G82" s="8" t="inlineStr">
        <is>
          <t>No aplica</t>
        </is>
      </c>
    </row>
    <row r="83">
      <c r="A83" s="6" t="inlineStr">
        <is>
          <t>4.2.1</t>
        </is>
      </c>
      <c r="B83" s="5" t="inlineStr">
        <is>
          <t>Problemas que serán abordados por el profesional</t>
        </is>
      </c>
      <c r="C83" s="5" t="inlineStr">
        <is>
          <t>Art. 8.II.4.2</t>
        </is>
      </c>
      <c r="D83" s="6" t="inlineStr">
        <is>
          <t>Cumple</t>
        </is>
      </c>
      <c r="E83" s="5" t="inlineStr">
        <is>
          <t>Cinco problemáticas: transformación tecnológica, sostenibilidad, opacidad, complejidad tributaria y saturación del mercado e informalidad.</t>
        </is>
      </c>
      <c r="F83" s="5" t="inlineStr">
        <is>
          <t>Ninguna sustantiva.</t>
        </is>
      </c>
      <c r="G83" s="8" t="inlineStr">
        <is>
          <t>No aplica</t>
        </is>
      </c>
    </row>
    <row r="84">
      <c r="A84" s="6" t="inlineStr">
        <is>
          <t>4.2.2</t>
        </is>
      </c>
      <c r="B84" s="5" t="inlineStr">
        <is>
          <t>Prospectiva de la profesión</t>
        </is>
      </c>
      <c r="C84" s="5" t="inlineStr">
        <is>
          <t>Art. 8.II.4.2</t>
        </is>
      </c>
      <c r="D84" s="6" t="inlineStr">
        <is>
          <t>Cumple</t>
        </is>
      </c>
      <c r="E84" s="5" t="inlineStr">
        <is>
          <t>4.2.2 cita el Foro Económico Mundial («el 39 % de las competencias nucleares cambiará hacia 2030») y la Reunión Sectorial.</t>
        </is>
      </c>
      <c r="F84" s="5" t="inlineStr">
        <is>
          <t>Ninguna sustantiva.</t>
        </is>
      </c>
      <c r="G84" s="8" t="inlineStr">
        <is>
          <t>No aplica</t>
        </is>
      </c>
    </row>
    <row r="85">
      <c r="A85" s="6" t="inlineStr">
        <is>
          <t>4.2.3</t>
        </is>
      </c>
      <c r="B85" s="5" t="inlineStr">
        <is>
          <t>Caracterización de la práctica (áreas de acción y funciones) e identificación de funciones y tareas</t>
        </is>
      </c>
      <c r="C85" s="5" t="inlineStr">
        <is>
          <t>Art. 8.II.4.2; Art. 12 (Referentes disciplinares)</t>
        </is>
      </c>
      <c r="D85" s="6" t="inlineStr">
        <is>
          <t>Cumple</t>
        </is>
      </c>
      <c r="E85" s="5" t="inlineStr">
        <is>
          <t>Roles profesional, organizacional e individual; «Cuadro 1. Áreas de desempeño profesional»; actividades invariantes y variantes.</t>
        </is>
      </c>
      <c r="F85" s="5" t="inlineStr">
        <is>
          <t>Ninguna sustantiva.</t>
        </is>
      </c>
      <c r="G85" s="8" t="inlineStr">
        <is>
          <t>No aplica</t>
        </is>
      </c>
    </row>
    <row r="86">
      <c r="A86" s="6" t="inlineStr">
        <is>
          <t>4.2.4 y 4.2.5</t>
        </is>
      </c>
      <c r="B86" s="5" t="inlineStr">
        <is>
          <t>Objeto y objetivo de la profesión establecidos con claridad</t>
        </is>
      </c>
      <c r="C86" s="5" t="inlineStr">
        <is>
          <t>Art. 8.II.4.2; Art. 12 (Referentes disciplinares)</t>
        </is>
      </c>
      <c r="D86" s="6" t="inlineStr">
        <is>
          <t>Cumple</t>
        </is>
      </c>
      <c r="E86" s="5" t="inlineStr">
        <is>
          <t>4.2.4 define el objeto y lo resume en «el objeto de la profesión del Contador Público es la información financiera, operativa, de gestión y de sostenibilidad»; 4.2.5 presenta objetivo general y objetivos específicos por pilares.</t>
        </is>
      </c>
      <c r="F86" s="5" t="inlineStr">
        <is>
          <t>Corregir la redacción de la frase final de 4.2.4 (ver coherencia).</t>
        </is>
      </c>
      <c r="G86" s="8" t="inlineStr">
        <is>
          <t>No aplica</t>
        </is>
      </c>
    </row>
    <row r="87">
      <c r="A87" s="6" t="inlineStr">
        <is>
          <t>4.2.6</t>
        </is>
      </c>
      <c r="B87" s="5" t="inlineStr">
        <is>
          <t>Competencias específicas de la profesión</t>
        </is>
      </c>
      <c r="C87" s="5" t="inlineStr">
        <is>
          <t>Art. 8.II.4.2</t>
        </is>
      </c>
      <c r="D87" s="6" t="inlineStr">
        <is>
          <t>Cumple</t>
        </is>
      </c>
      <c r="E87" s="5" t="inlineStr">
        <is>
          <t>Organizadas en saber conocer, saber hacer y saber ser y convivir, con «Cuadro 3. Matriz resumen».</t>
        </is>
      </c>
      <c r="F87" s="5" t="inlineStr">
        <is>
          <t>Completar el Cuadro 3 con todas las competencias listadas (ver coherencia).</t>
        </is>
      </c>
      <c r="G87" s="8" t="inlineStr">
        <is>
          <t>No aplica</t>
        </is>
      </c>
    </row>
    <row r="88">
      <c r="A88" s="6" t="inlineStr">
        <is>
          <t>4.2.7</t>
        </is>
      </c>
      <c r="B88" s="5" t="inlineStr">
        <is>
          <t>Perfil profesional con descripción general de competencias (conocimientos, habilidades y valores) y respuesta a las necesidades de la justificación</t>
        </is>
      </c>
      <c r="C88" s="5" t="inlineStr">
        <is>
          <t>Art. 8.II.4.2; Art. 12 (Referentes disciplinares)</t>
        </is>
      </c>
      <c r="D88" s="6" t="inlineStr">
        <is>
          <t>Cumple</t>
        </is>
      </c>
      <c r="E88" s="5" t="inlineStr">
        <is>
          <t>«Declaración del perfil profesional» y «Atributos del egresado» en tres grupos (saber conocer, saber hacer, saber ser y convivir); 4.2.6 vincula cada competencia con datos del diagnóstico.</t>
        </is>
      </c>
      <c r="F88" s="5" t="inlineStr">
        <is>
          <t>Ninguna sustantiva.</t>
        </is>
      </c>
      <c r="G88" s="8" t="inlineStr">
        <is>
          <t>No aplica</t>
        </is>
      </c>
    </row>
    <row r="89">
      <c r="A89" s="6" t="inlineStr">
        <is>
          <t>4.3.1</t>
        </is>
      </c>
      <c r="B89" s="5" t="inlineStr">
        <is>
          <t>Modelo curricular coherente con el modelo educativo de la UMSA</t>
        </is>
      </c>
      <c r="C89" s="5" t="inlineStr">
        <is>
          <t>Art. 8.II.4.3; Art. 12 (Plan de estudios propuesto)</t>
        </is>
      </c>
      <c r="D89" s="6" t="inlineStr">
        <is>
          <t>Cumple</t>
        </is>
      </c>
      <c r="E89" s="5" t="inlineStr">
        <is>
          <t>«adopta un modelo curricular por competencias, con enfoque socioformativo y de pensamiento complejo», con fundamento normativo, concepto de competencia, tipos y estructura de desagregación en cinco niveles.</t>
        </is>
      </c>
      <c r="F89" s="5" t="inlineStr">
        <is>
          <t>Explicitar la referencia documental al modelo educativo de la UMSA, igual que en 4.1.</t>
        </is>
      </c>
      <c r="G89" s="8" t="inlineStr">
        <is>
          <t>No aplica</t>
        </is>
      </c>
    </row>
    <row r="90">
      <c r="A90" s="6" t="inlineStr">
        <is>
          <t>4.3.2</t>
        </is>
      </c>
      <c r="B90" s="5" t="inlineStr">
        <is>
          <t>Principios del modelo: pertinencia, flexibilidad, integralidad e interdisciplinariedad</t>
        </is>
      </c>
      <c r="C90" s="5" t="inlineStr">
        <is>
          <t>Art. 8.II.4.3; Art. 12 (Plan de estudios propuesto)</t>
        </is>
      </c>
      <c r="D90" s="6" t="inlineStr">
        <is>
          <t>Cumple</t>
        </is>
      </c>
      <c r="E90" s="5" t="inlineStr">
        <is>
          <t>Desarrolla los literales a a d con la definición del reglamento y su concreción en la Carrera, más «Ética e interés público» y «Mejora continua».</t>
        </is>
      </c>
      <c r="F90" s="5" t="inlineStr">
        <is>
          <t>Ninguna sustantiva.</t>
        </is>
      </c>
      <c r="G90" s="8" t="inlineStr">
        <is>
          <t>No aplica</t>
        </is>
      </c>
    </row>
    <row r="91">
      <c r="A91" s="6" t="inlineStr">
        <is>
          <t>4.3.3</t>
        </is>
      </c>
      <c r="B91" s="5" t="inlineStr">
        <is>
          <t>Objetivo general del rediseño</t>
        </is>
      </c>
      <c r="C91" s="5" t="inlineStr">
        <is>
          <t>Art. 8.II.4.3</t>
        </is>
      </c>
      <c r="D91" s="6" t="inlineStr">
        <is>
          <t>Cumple</t>
        </is>
      </c>
      <c r="E91" s="5" t="inlineStr">
        <is>
          <t>«Rediseñar el Plan de Estudios 2013 de la Licenciatura en Contaduría Pública ... bajo un modelo curricular por competencias».</t>
        </is>
      </c>
      <c r="F91" s="5" t="inlineStr">
        <is>
          <t>Ninguna sustantiva.</t>
        </is>
      </c>
      <c r="G91" s="8" t="inlineStr">
        <is>
          <t>No aplica</t>
        </is>
      </c>
    </row>
    <row r="92">
      <c r="A92" s="6" t="inlineStr">
        <is>
          <t>4.3.4</t>
        </is>
      </c>
      <c r="B92" s="5" t="inlineStr">
        <is>
          <t>Objetivos específicos del rediseño</t>
        </is>
      </c>
      <c r="C92" s="5" t="inlineStr">
        <is>
          <t>Art. 8.II.4.3</t>
        </is>
      </c>
      <c r="D92" s="6" t="inlineStr">
        <is>
          <t>Cumple</t>
        </is>
      </c>
      <c r="E92" s="5" t="inlineStr">
        <is>
          <t>«Cuadro 1. Objetivos específicos del rediseño y brechas que atienden», nueve objetivos con su brecha.</t>
        </is>
      </c>
      <c r="F92" s="5" t="inlineStr">
        <is>
          <t>Corregir la cifra atribuida al objetivo 6 (ver coherencia).</t>
        </is>
      </c>
      <c r="G92" s="8" t="inlineStr">
        <is>
          <t>No aplica</t>
        </is>
      </c>
    </row>
    <row r="93">
      <c r="A93" s="6" t="inlineStr">
        <is>
          <t>4.3.5</t>
        </is>
      </c>
      <c r="B93" s="5" t="inlineStr">
        <is>
          <t>Duración de la Carrera señalada de forma clara</t>
        </is>
      </c>
      <c r="C93" s="5" t="inlineStr">
        <is>
          <t>Art. 8.II.4.3; Art. 12 (Plan de estudios propuesto)</t>
        </is>
      </c>
      <c r="D93" s="6" t="inlineStr">
        <is>
          <t>Cumple</t>
        </is>
      </c>
      <c r="E93" s="5" t="inlineStr">
        <is>
          <t>«duración de cinco años académicos, en régimen anual de 40 semanas lectivas por gestión».</t>
        </is>
      </c>
      <c r="F93" s="5" t="inlineStr">
        <is>
          <t>Ninguna sustantiva.</t>
        </is>
      </c>
      <c r="G93" s="8" t="inlineStr">
        <is>
          <t>No aplica</t>
        </is>
      </c>
    </row>
    <row r="94">
      <c r="A94" s="6" t="inlineStr">
        <is>
          <t>4.4.1</t>
        </is>
      </c>
      <c r="B94" s="5" t="inlineStr">
        <is>
          <t>Descripción de la organización curricular por áreas; organización de asignaturas según áreas de formación detectadas</t>
        </is>
      </c>
      <c r="C94" s="5" t="inlineStr">
        <is>
          <t>Art. 8.II.4.4; Art. 12 (Estructura curricular)</t>
        </is>
      </c>
      <c r="D94" s="6" t="inlineStr">
        <is>
          <t>Cumple</t>
        </is>
      </c>
      <c r="E94" s="5" t="inlineStr">
        <is>
          <t>«Cuadro 1. Asignaturas y carga horaria por área de conocimiento»: 29 asignaturas y 4.000 h en el Área Contable y de Auditoría, 14 y 2.000 h en el Área Contextual; las cifras cuadran con la malla.</t>
        </is>
      </c>
      <c r="F94" s="5" t="inlineStr">
        <is>
          <t>Ver coherencia sobre la denominación «seis áreas ... en dos bloques».</t>
        </is>
      </c>
      <c r="G94" s="8" t="inlineStr">
        <is>
          <t>No aplica</t>
        </is>
      </c>
    </row>
    <row r="95">
      <c r="A95" s="6" t="inlineStr">
        <is>
          <t>4.4.3</t>
        </is>
      </c>
      <c r="B95" s="5" t="inlineStr">
        <is>
          <t>Malla curricular con sigla, nombre, carga horaria, créditos y prerrequisitos por ciclos y año</t>
        </is>
      </c>
      <c r="C95" s="5" t="inlineStr">
        <is>
          <t>Art. 8.II.4.4; Art. 12 (Estructura curricular)</t>
        </is>
      </c>
      <c r="D95" s="6" t="inlineStr">
        <is>
          <t>Cumple</t>
        </is>
      </c>
      <c r="E95" s="5" t="inlineStr">
        <is>
          <t>Cuadros 4 a 8 con las 43 asignaturas; horas, créditos y prerrequisitos coinciden con la malla definitiva (1.040/1.200/1.280/1.280/1.200 h; 60 créditos por año). Única diferencia: el nombre de CPA-507.</t>
        </is>
      </c>
      <c r="F95" s="5" t="inlineStr">
        <is>
          <t>Unificar el nombre de CPA-507 con la malla definitiva (ver coherencia).</t>
        </is>
      </c>
      <c r="G95" s="8" t="inlineStr">
        <is>
          <t>No aplica</t>
        </is>
      </c>
    </row>
    <row r="96">
      <c r="A96" s="6" t="inlineStr">
        <is>
          <t>4.5</t>
        </is>
      </c>
      <c r="B96" s="5" t="inlineStr">
        <is>
          <t>Unidad de competencia y elementos de competencia</t>
        </is>
      </c>
      <c r="C96" s="5" t="inlineStr">
        <is>
          <t>Art. 9.II.4.2 y 4.3; Art. 12 (Planes de asignaturas)</t>
        </is>
      </c>
      <c r="D96" s="6" t="inlineStr">
        <is>
          <t>Cumple</t>
        </is>
      </c>
      <c r="E96" s="5" t="inlineStr">
        <is>
          <t>hechos.md: cada plan tiene «unidad de competencia, elementos de competencia con 2 criterios de desempeño».</t>
        </is>
      </c>
      <c r="F96" s="5" t="inlineStr">
        <is>
          <t>Ninguna sustantiva.</t>
        </is>
      </c>
      <c r="G96" s="8" t="inlineStr">
        <is>
          <t>No aplica</t>
        </is>
      </c>
    </row>
    <row r="97">
      <c r="A97" s="6" t="inlineStr">
        <is>
          <t>4.6</t>
        </is>
      </c>
      <c r="B97" s="5" t="inlineStr">
        <is>
          <t>Estrategias, métodos, tipos y recursos</t>
        </is>
      </c>
      <c r="C97" s="5" t="inlineStr">
        <is>
          <t>Art. 8.II.4.6</t>
        </is>
      </c>
      <c r="D97" s="6" t="inlineStr">
        <is>
          <t>Cumple</t>
        </is>
      </c>
      <c r="E97" s="5" t="inlineStr">
        <is>
          <t>Subpuntos 4.6.1 a 4.6.5 con Cuadros 1 a 3.</t>
        </is>
      </c>
      <c r="F97" s="5" t="inlineStr">
        <is>
          <t>Ninguna sustantiva.</t>
        </is>
      </c>
      <c r="G97" s="8" t="inlineStr">
        <is>
          <t>No aplica</t>
        </is>
      </c>
    </row>
    <row r="98">
      <c r="A98" s="6" t="inlineStr">
        <is>
          <t>4.6</t>
        </is>
      </c>
      <c r="B98" s="5" t="inlineStr">
        <is>
          <t>Diferenciar estrategias de aprendizaje del estudiante y de enseñanza del docente</t>
        </is>
      </c>
      <c r="C98" s="5" t="inlineStr">
        <is>
          <t>Art. 12 (Estrategias)</t>
        </is>
      </c>
      <c r="D98" s="6" t="inlineStr">
        <is>
          <t>Cumple</t>
        </is>
      </c>
      <c r="E98" s="5" t="inlineStr">
        <is>
          <t>4.6.1 «Son las acciones que el estudiante realiza» y 4.6.2 «Son las acciones que el docente planifica y ejecuta».</t>
        </is>
      </c>
      <c r="F98" s="5" t="inlineStr">
        <is>
          <t>Ninguna sustantiva.</t>
        </is>
      </c>
      <c r="G98" s="8" t="inlineStr">
        <is>
          <t>No aplica</t>
        </is>
      </c>
    </row>
    <row r="99">
      <c r="A99" s="6" t="inlineStr">
        <is>
          <t>4.6</t>
        </is>
      </c>
      <c r="B99" s="5" t="inlineStr">
        <is>
          <t>Actividades autónomas y colectivas</t>
        </is>
      </c>
      <c r="C99" s="5" t="inlineStr">
        <is>
          <t>Art. 12 (Estrategias)</t>
        </is>
      </c>
      <c r="D99" s="6" t="inlineStr">
        <is>
          <t>Cumple</t>
        </is>
      </c>
      <c r="E99" s="5" t="inlineStr">
        <is>
          <t>Cuadro 1, columna «Tipo de actividad» (Autónoma, Colectiva) y 4.6.4 «Actividades no presenciales autónomas» y «Actividades colectivas».</t>
        </is>
      </c>
      <c r="F99" s="5" t="inlineStr">
        <is>
          <t>Ninguna sustantiva.</t>
        </is>
      </c>
      <c r="G99" s="8" t="inlineStr">
        <is>
          <t>No aplica</t>
        </is>
      </c>
    </row>
    <row r="100">
      <c r="A100" s="6" t="inlineStr">
        <is>
          <t>4.7</t>
        </is>
      </c>
      <c r="B100" s="5" t="inlineStr">
        <is>
          <t>Estrategias, métodos, tipos, procedimientos, instrumentos y pruebas</t>
        </is>
      </c>
      <c r="C100" s="5" t="inlineStr">
        <is>
          <t>Art. 8.II.4.7</t>
        </is>
      </c>
      <c r="D100" s="6" t="inlineStr">
        <is>
          <t>Cumple</t>
        </is>
      </c>
      <c r="E100" s="5" t="inlineStr">
        <is>
          <t>4.7.1 tipos (diagnóstica, formativa, sumativa) y agentes; 4.7.2 evidencias; 4.7.3 instrumentos y procedimiento; 4.7.4 escala.</t>
        </is>
      </c>
      <c r="F100" s="5" t="inlineStr">
        <is>
          <t>Desarrollar brevemente los métodos, que solo figuran en el título de 4.7.3.</t>
        </is>
      </c>
      <c r="G100" s="8" t="inlineStr">
        <is>
          <t>No aplica</t>
        </is>
      </c>
    </row>
    <row r="101">
      <c r="A101" s="6" t="inlineStr">
        <is>
          <t>4.7</t>
        </is>
      </c>
      <c r="B101" s="5" t="inlineStr">
        <is>
          <t>Evaluación como retroalimentación para la mejora continua y a partir de evidencias de desempeño, producto y conocimiento</t>
        </is>
      </c>
      <c r="C101" s="5" t="inlineStr">
        <is>
          <t>Art. 12 (Evaluación de aprendizajes)</t>
        </is>
      </c>
      <c r="D101" s="6" t="inlineStr">
        <is>
          <t>Cumple</t>
        </is>
      </c>
      <c r="E101" s="5" t="inlineStr">
        <is>
          <t>«la evaluación se concibe como retroalimentación para la mejora continua»; 4.7.2 define los tres tipos de evidencias.</t>
        </is>
      </c>
      <c r="F101" s="5" t="inlineStr">
        <is>
          <t>Ninguna sustantiva.</t>
        </is>
      </c>
      <c r="G101" s="8" t="inlineStr">
        <is>
          <t>No aplica</t>
        </is>
      </c>
    </row>
    <row r="102">
      <c r="A102" s="6" t="inlineStr">
        <is>
          <t>4.7.4</t>
        </is>
      </c>
      <c r="B102" s="5" t="inlineStr">
        <is>
          <t>Nota o cantidad de créditos para aprobar la asignatura</t>
        </is>
      </c>
      <c r="C102" s="5" t="inlineStr">
        <is>
          <t>Art. 12 (Evaluación de aprendizajes)</t>
        </is>
      </c>
      <c r="D102" s="6" t="inlineStr">
        <is>
          <t>Cumple</t>
        </is>
      </c>
      <c r="E102" s="5" t="inlineStr">
        <is>
          <t>«Nota mínima de aprobación: cincuenta y uno (51) puntos sobre cien»; coincide con 5.3.1 y 13.</t>
        </is>
      </c>
      <c r="F102" s="5" t="inlineStr">
        <is>
          <t>Ninguna sustantiva.</t>
        </is>
      </c>
      <c r="G102" s="8" t="inlineStr">
        <is>
          <t>No aplica</t>
        </is>
      </c>
    </row>
    <row r="103">
      <c r="A103" s="6" t="inlineStr">
        <is>
          <t>4.8</t>
        </is>
      </c>
      <c r="B103" s="5" t="inlineStr">
        <is>
          <t>Finalidad: experiencia profesional, interés por una especialidad, red de contactos y méritos</t>
        </is>
      </c>
      <c r="C103" s="5" t="inlineStr">
        <is>
          <t>Art. 12 (Prácticas)</t>
        </is>
      </c>
      <c r="D103" s="6" t="inlineStr">
        <is>
          <t>Cumple</t>
        </is>
      </c>
      <c r="E103" s="5" t="inlineStr">
        <is>
          <t>Introducción de 4.8 y objetivos de 4.8.1.</t>
        </is>
      </c>
      <c r="F103" s="5" t="inlineStr">
        <is>
          <t>Ninguna sustantiva.</t>
        </is>
      </c>
      <c r="G103" s="8" t="inlineStr">
        <is>
          <t>No aplica</t>
        </is>
      </c>
    </row>
    <row r="104">
      <c r="A104" s="6" t="inlineStr">
        <is>
          <t>5.1</t>
        </is>
      </c>
      <c r="B104" s="5" t="inlineStr">
        <is>
          <t>Perfil del postulante</t>
        </is>
      </c>
      <c r="C104" s="5" t="inlineStr">
        <is>
          <t>Art. 8.II.5</t>
        </is>
      </c>
      <c r="D104" s="6" t="inlineStr">
        <is>
          <t>Cumple</t>
        </is>
      </c>
      <c r="E104" s="5" t="inlineStr">
        <is>
          <t>5.1 describe base cognitiva, aptitudes analíticas y cuantitativas, y actitudes y valores del bachiller.</t>
        </is>
      </c>
      <c r="F104" s="5" t="inlineStr">
        <is>
          <t>Ninguna.</t>
        </is>
      </c>
      <c r="G104" s="8" t="inlineStr">
        <is>
          <t>No aplica</t>
        </is>
      </c>
    </row>
    <row r="105">
      <c r="A105" s="6" t="inlineStr">
        <is>
          <t>5.2</t>
        </is>
      </c>
      <c r="B105" s="5" t="inlineStr">
        <is>
          <t>Modalidades de admisión planificadas según la misión y con costos pertinentes</t>
        </is>
      </c>
      <c r="C105" s="5" t="inlineStr">
        <is>
          <t>Art. 8.II.5; Art. 12 (Admisión)</t>
        </is>
      </c>
      <c r="D105" s="6" t="inlineStr">
        <is>
          <t>Cumple</t>
        </is>
      </c>
      <c r="E105" s="5" t="inlineStr">
        <is>
          <t>Cuadro 1 (PSA, CPF, AE) y Cuadro 2 con las seis modalidades del Art. 4 de la Res. HCU 565/2024; cita el Art. 6 del reglamento: modalidades «gratuitas o que, de tener un costo, este no exceda el importe que demande su realización».</t>
        </is>
      </c>
      <c r="F105" s="5" t="inlineStr">
        <is>
          <t>Ninguna; opcionalmente vincular las modalidades con la misión y el perfil profesional en una frase.</t>
        </is>
      </c>
      <c r="G105" s="8" t="inlineStr">
        <is>
          <t>No aplica</t>
        </is>
      </c>
    </row>
    <row r="106">
      <c r="A106" s="6" t="inlineStr">
        <is>
          <t>5.3.1</t>
        </is>
      </c>
      <c r="B106" s="5" t="inlineStr">
        <is>
          <t>Nota o créditos para aprobar la asignatura</t>
        </is>
      </c>
      <c r="C106" s="5" t="inlineStr">
        <is>
          <t>Art. 12 (Admisión, Promoción y Graduación)</t>
        </is>
      </c>
      <c r="D106" s="6" t="inlineStr">
        <is>
          <t>Cumple</t>
        </is>
      </c>
      <c r="E106" s="5" t="inlineStr">
        <is>
          <t>«escala de 1 a 100 puntos y la nota mínima de aprobación es de 51 puntos».</t>
        </is>
      </c>
      <c r="F106" s="5" t="inlineStr">
        <is>
          <t>Ninguna.</t>
        </is>
      </c>
      <c r="G106" s="8" t="inlineStr">
        <is>
          <t>No aplica</t>
        </is>
      </c>
    </row>
    <row r="107">
      <c r="A107" s="6" t="inlineStr">
        <is>
          <t>5.4.1</t>
        </is>
      </c>
      <c r="B107" s="5" t="inlineStr">
        <is>
          <t>Grados intermedios y terminal</t>
        </is>
      </c>
      <c r="C107" s="5" t="inlineStr">
        <is>
          <t>Art. 8.II.5; Art. 12 (Identificación)</t>
        </is>
      </c>
      <c r="D107" s="6" t="inlineStr">
        <is>
          <t>Cumple</t>
        </is>
      </c>
      <c r="E107" s="5" t="inlineStr">
        <is>
          <t>Cuadro 5 con Técnico Universitario Medio (16 asignaturas), Técnico Universitario Superior (24 asignaturas y examen) y Licenciatura (43 asignaturas), en concordancia con hechos.md.</t>
        </is>
      </c>
      <c r="F107" s="5" t="inlineStr">
        <is>
          <t>Ninguna.</t>
        </is>
      </c>
      <c r="G107" s="8" t="inlineStr">
        <is>
          <t>No aplica</t>
        </is>
      </c>
    </row>
    <row r="108">
      <c r="A108" s="6" t="inlineStr">
        <is>
          <t>6.1</t>
        </is>
      </c>
      <c r="B108" s="5" t="inlineStr">
        <is>
          <t>Políticas de investigación</t>
        </is>
      </c>
      <c r="C108" s="5" t="inlineStr">
        <is>
          <t>Art. 8.II.6</t>
        </is>
      </c>
      <c r="D108" s="6" t="inlineStr">
        <is>
          <t>Cumple</t>
        </is>
      </c>
      <c r="E108" s="5" t="inlineStr">
        <is>
          <t>6.1.1 a 6.1.4: marco de la Política de Investigación UMSA, lineamientos y estrategias de la Carrera y articulación con el IICCFA.</t>
        </is>
      </c>
      <c r="F108" s="5" t="inlineStr">
        <is>
          <t>Ninguna.</t>
        </is>
      </c>
      <c r="G108" s="8" t="inlineStr">
        <is>
          <t>No aplica</t>
        </is>
      </c>
    </row>
    <row r="109">
      <c r="A109" s="6" t="inlineStr">
        <is>
          <t>6.1.3</t>
        </is>
      </c>
      <c r="B109" s="5" t="inlineStr">
        <is>
          <t>Tesis, proyectos de grado y trabajos dirigidos responden a las líneas</t>
        </is>
      </c>
      <c r="C109" s="5" t="inlineStr">
        <is>
          <t>Art. 12 (Investigación)</t>
        </is>
      </c>
      <c r="D109" s="6" t="inlineStr">
        <is>
          <t>Cumple</t>
        </is>
      </c>
      <c r="E109" s="5" t="inlineStr">
        <is>
          <t>Cuadro 2: «Tesis de grado, proyectos de grado y trabajos dirigidos vinculados a las líneas de investigación del punto 6.2».</t>
        </is>
      </c>
      <c r="F109" s="5" t="inlineStr">
        <is>
          <t>Ninguna.</t>
        </is>
      </c>
      <c r="G109" s="8" t="inlineStr">
        <is>
          <t>No aplica</t>
        </is>
      </c>
    </row>
    <row r="110">
      <c r="A110" s="6" t="inlineStr">
        <is>
          <t>6.2</t>
        </is>
      </c>
      <c r="B110" s="5" t="inlineStr">
        <is>
          <t>Líneas de investigación</t>
        </is>
      </c>
      <c r="C110" s="5" t="inlineStr">
        <is>
          <t>Art. 8.II.6; Art. 12 (Investigación)</t>
        </is>
      </c>
      <c r="D110" s="6" t="inlineStr">
        <is>
          <t>Cumple</t>
        </is>
      </c>
      <c r="E110" s="5" t="inlineStr">
        <is>
          <t>Ocho líneas (LI-1 a LI-8) en cuatro Grandes Áreas Temáticas (6.2.3).</t>
        </is>
      </c>
      <c r="F110" s="5" t="inlineStr">
        <is>
          <t>Ninguna.</t>
        </is>
      </c>
      <c r="G110" s="8" t="inlineStr">
        <is>
          <t>No aplica</t>
        </is>
      </c>
    </row>
    <row r="111">
      <c r="A111" s="6" t="inlineStr">
        <is>
          <t>7.1</t>
        </is>
      </c>
      <c r="B111" s="5" t="inlineStr">
        <is>
          <t>Políticas y líneas de interacción social</t>
        </is>
      </c>
      <c r="C111" s="5" t="inlineStr">
        <is>
          <t>Art. 8.II.7; Art. 12</t>
        </is>
      </c>
      <c r="D111" s="6" t="inlineStr">
        <is>
          <t>Cumple</t>
        </is>
      </c>
      <c r="E111" s="5" t="inlineStr">
        <is>
          <t>7.1.1 (cinco políticas) y Cuadro 1 de 7.1.2 (tres líneas).</t>
        </is>
      </c>
      <c r="F111" s="5" t="inlineStr">
        <is>
          <t>Ninguna.</t>
        </is>
      </c>
      <c r="G111" s="8" t="inlineStr">
        <is>
          <t>No aplica</t>
        </is>
      </c>
    </row>
    <row r="112">
      <c r="A112" s="6" t="inlineStr">
        <is>
          <t>7.2</t>
        </is>
      </c>
      <c r="B112" s="5" t="inlineStr">
        <is>
          <t>Políticas y líneas de extensión universitaria</t>
        </is>
      </c>
      <c r="C112" s="5" t="inlineStr">
        <is>
          <t>Art. 8.II.7; Art. 12</t>
        </is>
      </c>
      <c r="D112" s="6" t="inlineStr">
        <is>
          <t>Cumple</t>
        </is>
      </c>
      <c r="E112" s="5" t="inlineStr">
        <is>
          <t>7.2.1 políticas y Cuadro 2 de 7.2.2 con cinco líneas; el subtítulo 7.2 está duplicado (ver coherencia).</t>
        </is>
      </c>
      <c r="F112" s="5" t="inlineStr">
        <is>
          <t>Eliminar el bloque duplicado.</t>
        </is>
      </c>
      <c r="G112" s="8" t="inlineStr">
        <is>
          <t>No aplica</t>
        </is>
      </c>
    </row>
    <row r="113">
      <c r="A113" s="6" t="inlineStr">
        <is>
          <t>8.1</t>
        </is>
      </c>
      <c r="B113" s="5" t="inlineStr">
        <is>
          <t>Semanas lectivas por año, concordantes con el calendario del HCU</t>
        </is>
      </c>
      <c r="C113" s="5" t="inlineStr">
        <is>
          <t>Art. 8.II.8; Art. 12 (Organización)</t>
        </is>
      </c>
      <c r="D113" s="6" t="inlineStr">
        <is>
          <t>Cumple</t>
        </is>
      </c>
      <c r="E113" s="5" t="inlineStr">
        <is>
          <t>«Cada gestión académica comprende 40 semanas lectivas».</t>
        </is>
      </c>
      <c r="F113" s="5" t="inlineStr">
        <is>
          <t>Ninguna.</t>
        </is>
      </c>
      <c r="G113" s="8" t="inlineStr">
        <is>
          <t>No aplica</t>
        </is>
      </c>
    </row>
    <row r="114">
      <c r="A114" s="6" t="inlineStr">
        <is>
          <t>8.2 y 8.3</t>
        </is>
      </c>
      <c r="B114" s="5" t="inlineStr">
        <is>
          <t>Horas cronológicas por semana y total de horas planificadas</t>
        </is>
      </c>
      <c r="C114" s="5" t="inlineStr">
        <is>
          <t>Art. 8.II.8</t>
        </is>
      </c>
      <c r="D114" s="6" t="inlineStr">
        <is>
          <t>Cumple</t>
        </is>
      </c>
      <c r="E114" s="5" t="inlineStr">
        <is>
          <t>Cuadro 1 (26 a 32 h académicas, 19,5 a 24 h cronológicas) y Cuadro 2 (6.000 / 3.000 / 9.000 h; 300 créditos).</t>
        </is>
      </c>
      <c r="F114" s="5" t="inlineStr">
        <is>
          <t>Ninguna (ver observación de unidades en coherencia).</t>
        </is>
      </c>
      <c r="G114" s="8" t="inlineStr">
        <is>
          <t>No aplica</t>
        </is>
      </c>
    </row>
    <row r="115">
      <c r="A115" s="6" t="inlineStr">
        <is>
          <t>8.4</t>
        </is>
      </c>
      <c r="B115" s="5" t="inlineStr">
        <is>
          <t>Planes de asignatura contemplan investigaciones alineadas a la competencia</t>
        </is>
      </c>
      <c r="C115" s="5" t="inlineStr">
        <is>
          <t>Art. 12 (Investigación)</t>
        </is>
      </c>
      <c r="D115" s="6" t="inlineStr">
        <is>
          <t>Cumple</t>
        </is>
      </c>
      <c r="E115" s="5" t="inlineStr">
        <is>
          <t>Cuadro 4 de 8.4 asigna HIP a las 43 asignaturas (total 874, 9,7 %).</t>
        </is>
      </c>
      <c r="F115" s="5" t="inlineStr">
        <is>
          <t>Ninguna.</t>
        </is>
      </c>
      <c r="G115" s="8" t="inlineStr">
        <is>
          <t>No aplica</t>
        </is>
      </c>
    </row>
    <row r="116">
      <c r="A116" s="6" t="inlineStr">
        <is>
          <t>8.4</t>
        </is>
      </c>
      <c r="B116" s="5" t="inlineStr">
        <is>
          <t>Carga horaria cronológica en investigación</t>
        </is>
      </c>
      <c r="C116" s="5" t="inlineStr">
        <is>
          <t>Art. 8.II.8</t>
        </is>
      </c>
      <c r="D116" s="6" t="inlineStr">
        <is>
          <t>Cumple</t>
        </is>
      </c>
      <c r="E116" s="5" t="inlineStr">
        <is>
          <t>874 HIP, 9,7 % de 9.000, por año y por asignatura; coincide con hechos.md.</t>
        </is>
      </c>
      <c r="F116" s="5" t="inlineStr">
        <is>
          <t>Ninguna.</t>
        </is>
      </c>
      <c r="G116" s="8" t="inlineStr">
        <is>
          <t>No aplica</t>
        </is>
      </c>
    </row>
    <row r="117">
      <c r="A117" s="6" t="inlineStr">
        <is>
          <t>8.5</t>
        </is>
      </c>
      <c r="B117" s="5" t="inlineStr">
        <is>
          <t>Sistema de créditos</t>
        </is>
      </c>
      <c r="C117" s="5" t="inlineStr">
        <is>
          <t>Art. 8.II.8</t>
        </is>
      </c>
      <c r="D117" s="6" t="inlineStr">
        <is>
          <t>Cumple</t>
        </is>
      </c>
      <c r="E117" s="5" t="inlineStr">
        <is>
          <t>60 créditos por año, 1 crédito = 30 h, Res. HCU 351/2021; Cuadro 5.</t>
        </is>
      </c>
      <c r="F117" s="5" t="inlineStr">
        <is>
          <t>Corregir la remisión al punto 4.3.5 (ver coherencia).</t>
        </is>
      </c>
      <c r="G117" s="8" t="inlineStr">
        <is>
          <t>No aplica</t>
        </is>
      </c>
    </row>
    <row r="118">
      <c r="A118" s="6" t="inlineStr">
        <is>
          <t>9.1</t>
        </is>
      </c>
      <c r="B118" s="5" t="inlineStr">
        <is>
          <t>Textos físicos y digitales (suficiencia cuantitativa y cualitativa)</t>
        </is>
      </c>
      <c r="C118" s="5" t="inlineStr">
        <is>
          <t>Art. 8.II.9</t>
        </is>
      </c>
      <c r="D118" s="6" t="inlineStr">
        <is>
          <t>Cumple</t>
        </is>
      </c>
      <c r="E118" s="5" t="inlineStr">
        <is>
          <t>Cuadros 1 a 3: acervo, suficiencia por las 43 asignaturas y cobertura de contenidos nuevos.</t>
        </is>
      </c>
      <c r="F118" s="5" t="inlineStr">
        <is>
          <t>Ninguna.</t>
        </is>
      </c>
      <c r="G118" s="8" t="inlineStr">
        <is>
          <t>No aplica</t>
        </is>
      </c>
    </row>
    <row r="119">
      <c r="A119" s="6" t="inlineStr">
        <is>
          <t>9.3 y 9.4</t>
        </is>
      </c>
      <c r="B119" s="5" t="inlineStr">
        <is>
          <t>Conexión a sistemas de información; Internet y wifi</t>
        </is>
      </c>
      <c r="C119" s="5" t="inlineStr">
        <is>
          <t>Art. 8.II.9; Art. 12 (Recursos educativos)</t>
        </is>
      </c>
      <c r="D119" s="6" t="inlineStr">
        <is>
          <t>Cumple</t>
        </is>
      </c>
      <c r="E119" s="5" t="inlineStr">
        <is>
          <t>Cuadro 4 (repositorio, Research4Life, Scopus, SciELO, Dialnet, PERI) y Cuadro 5 (385 y 165 Mbps, red inalámbrica).</t>
        </is>
      </c>
      <c r="F119" s="5" t="inlineStr">
        <is>
          <t>Ninguna.</t>
        </is>
      </c>
      <c r="G119" s="8" t="inlineStr">
        <is>
          <t>No aplica</t>
        </is>
      </c>
    </row>
    <row r="120">
      <c r="A120" s="6" t="inlineStr">
        <is>
          <t>10</t>
        </is>
      </c>
      <c r="B120" s="5" t="inlineStr">
        <is>
          <t>Los doce componentes de recursos educativos</t>
        </is>
      </c>
      <c r="C120" s="5" t="inlineStr">
        <is>
          <t>Art. 8.II.10</t>
        </is>
      </c>
      <c r="D120" s="6" t="inlineStr">
        <is>
          <t>Cumple</t>
        </is>
      </c>
      <c r="E120" s="5" t="inlineStr">
        <is>
          <t>10.1 a 10.12 cubren equipos multimedia, computadoras en red, software, laboratorios, material audiovisual, medios didácticos, soportes físicos, programas, medios interactivos, multimedia e Internet, servicios telemáticos y entornos virtuales.</t>
        </is>
      </c>
      <c r="F120" s="5" t="inlineStr">
        <is>
          <t>Ninguna.</t>
        </is>
      </c>
      <c r="G120" s="8" t="inlineStr">
        <is>
          <t>No aplica</t>
        </is>
      </c>
    </row>
    <row r="121">
      <c r="A121" s="6" t="inlineStr">
        <is>
          <t>11.1</t>
        </is>
      </c>
      <c r="B121" s="5" t="inlineStr">
        <is>
          <t>Infraestructura, equipamiento y sistemas de soporte informático</t>
        </is>
      </c>
      <c r="C121" s="5" t="inlineStr">
        <is>
          <t>Art. 8.II.11</t>
        </is>
      </c>
      <c r="D121" s="6" t="inlineStr">
        <is>
          <t>Cumple</t>
        </is>
      </c>
      <c r="E121" s="5" t="inlineStr">
        <is>
          <t>Cuadros 1 a 6: población, aulas, evaluación y requerimientos por plazo.</t>
        </is>
      </c>
      <c r="F121" s="5" t="inlineStr">
        <is>
          <t>Ninguna.</t>
        </is>
      </c>
      <c r="G121" s="8" t="inlineStr">
        <is>
          <t>No aplica</t>
        </is>
      </c>
    </row>
    <row r="122">
      <c r="A122" s="6" t="inlineStr">
        <is>
          <t>11.2</t>
        </is>
      </c>
      <c r="B122" s="5" t="inlineStr">
        <is>
          <t>Recursos humanos</t>
        </is>
      </c>
      <c r="C122" s="5" t="inlineStr">
        <is>
          <t>Art. 8.II.11</t>
        </is>
      </c>
      <c r="D122" s="6" t="inlineStr">
        <is>
          <t>Cumple</t>
        </is>
      </c>
      <c r="E122" s="5" t="inlineStr">
        <is>
          <t>Cuadros 7 a 11: situación docente, perfil por área, actualización y requerimientos.</t>
        </is>
      </c>
      <c r="F122" s="5" t="inlineStr">
        <is>
          <t>Corregir la nota de titulares (ver coherencia).</t>
        </is>
      </c>
      <c r="G122" s="8" t="inlineStr">
        <is>
          <t>No aplica</t>
        </is>
      </c>
    </row>
    <row r="123">
      <c r="A123" s="6" t="inlineStr">
        <is>
          <t>12.1</t>
        </is>
      </c>
      <c r="B123" s="5" t="inlineStr">
        <is>
          <t>Lineamientos para la evaluación curricular y mecanismos de seguimiento anual</t>
        </is>
      </c>
      <c r="C123" s="5" t="inlineStr">
        <is>
          <t>Art. 8.II.12; Art. 12 (Evaluación)</t>
        </is>
      </c>
      <c r="D123" s="6" t="inlineStr">
        <is>
          <t>Cumple</t>
        </is>
      </c>
      <c r="E123" s="5" t="inlineStr">
        <is>
          <t>Modelo CIPP, matriz del Cuadro 2, calendario del Cuadro 3 (anual, bienal, cuatrienal, primera promoción, siete años).</t>
        </is>
      </c>
      <c r="F123" s="5" t="inlineStr">
        <is>
          <t>Ninguna.</t>
        </is>
      </c>
      <c r="G123" s="8" t="inlineStr">
        <is>
          <t>No aplica</t>
        </is>
      </c>
    </row>
    <row r="124">
      <c r="A124" s="6" t="inlineStr">
        <is>
          <t>12.2</t>
        </is>
      </c>
      <c r="B124" s="5" t="inlineStr">
        <is>
          <t>Estrategias de seguimiento a titulados</t>
        </is>
      </c>
      <c r="C124" s="5" t="inlineStr">
        <is>
          <t>Art. 8.II.12</t>
        </is>
      </c>
      <c r="D124" s="6" t="inlineStr">
        <is>
          <t>Cumple</t>
        </is>
      </c>
      <c r="E124" s="5" t="inlineStr">
        <is>
          <t>Cuadros 4 a 8 y 12.2.4.</t>
        </is>
      </c>
      <c r="F124" s="5" t="inlineStr">
        <is>
          <t>Ninguna.</t>
        </is>
      </c>
      <c r="G124" s="8" t="inlineStr">
        <is>
          <t>No aplica</t>
        </is>
      </c>
    </row>
    <row r="125">
      <c r="A125" s="6" t="inlineStr">
        <is>
          <t>14</t>
        </is>
      </c>
      <c r="B125" s="5" t="inlineStr">
        <is>
          <t>Ambientes de aprendizaje (nueve componentes)</t>
        </is>
      </c>
      <c r="C125" s="5" t="inlineStr">
        <is>
          <t>Art. 8.II.14; Art. 12 (Infraestructura)</t>
        </is>
      </c>
      <c r="D125" s="6" t="inlineStr">
        <is>
          <t>Cumple</t>
        </is>
      </c>
      <c r="E125" s="5" t="inlineStr">
        <is>
          <t>14.1 a 14.9 cubren aulas, tecnología audiovisual, laboratorios, biblioteca, salas de computación, ambientes administrativos, áreas de interacción, infraestructura sanitaria y software.</t>
        </is>
      </c>
      <c r="F125" s="5" t="inlineStr">
        <is>
          <t>Ninguna (ver contradicciones de capacidades en coherencia).</t>
        </is>
      </c>
      <c r="G125" s="8" t="inlineStr">
        <is>
          <t>No aplica</t>
        </is>
      </c>
    </row>
    <row r="126">
      <c r="A126" s="6" t="inlineStr">
        <is>
          <t>15</t>
        </is>
      </c>
      <c r="B126" s="5" t="inlineStr">
        <is>
          <t>Depósitos, sala de espera, archivo físico y digital</t>
        </is>
      </c>
      <c r="C126" s="5" t="inlineStr">
        <is>
          <t>Art. 8.II.15</t>
        </is>
      </c>
      <c r="D126" s="6" t="inlineStr">
        <is>
          <t>Cumple</t>
        </is>
      </c>
      <c r="E126" s="5" t="inlineStr">
        <is>
          <t>15.1 a 15.5.</t>
        </is>
      </c>
      <c r="F126" s="5" t="inlineStr">
        <is>
          <t>Ninguna.</t>
        </is>
      </c>
      <c r="G126" s="8" t="inlineStr">
        <is>
          <t>No aplica</t>
        </is>
      </c>
    </row>
    <row r="127">
      <c r="A127" s="6" t="inlineStr">
        <is>
          <t>16.1</t>
        </is>
      </c>
      <c r="B127" s="5" t="inlineStr">
        <is>
          <t>Cuadro de convalidación y homologación de asignaturas</t>
        </is>
      </c>
      <c r="C127" s="5" t="inlineStr">
        <is>
          <t>Art. 8.II.16; Art. 12 (Disposiciones)</t>
        </is>
      </c>
      <c r="D127" s="6" t="inlineStr">
        <is>
          <t>Cumple</t>
        </is>
      </c>
      <c r="E127" s="5" t="inlineStr">
        <is>
          <t>Cuadro 1 con las 43 asignaturas y su mecanismo; conteo 34/4/5 verificado.</t>
        </is>
      </c>
      <c r="F127" s="5" t="inlineStr">
        <is>
          <t>Corregir nombres (ver coherencia).</t>
        </is>
      </c>
      <c r="G127" s="8" t="inlineStr">
        <is>
          <t>No aplica</t>
        </is>
      </c>
    </row>
    <row r="128">
      <c r="A128" s="6" t="inlineStr">
        <is>
          <t>16.2</t>
        </is>
      </c>
      <c r="B128" s="5" t="inlineStr">
        <is>
          <t>Plan de implementación en cronograma</t>
        </is>
      </c>
      <c r="C128" s="5" t="inlineStr">
        <is>
          <t>Art. 8.II.16; Art. 12</t>
        </is>
      </c>
      <c r="D128" s="6" t="inlineStr">
        <is>
          <t>Cumple</t>
        </is>
      </c>
      <c r="E128" s="5" t="inlineStr">
        <is>
          <t>Cuadro 2, gestiones 2026 a 2032.</t>
        </is>
      </c>
      <c r="F128" s="5" t="inlineStr">
        <is>
          <t>Ajustar los puntos señalados en coherencia.</t>
        </is>
      </c>
      <c r="G128" s="8" t="inlineStr">
        <is>
          <t>No aplica</t>
        </is>
      </c>
    </row>
  </sheetData>
  <autoFilter ref="A4:G128"/>
  <conditionalFormatting sqref="D5:D128">
    <cfRule type="expression" priority="1" dxfId="0">
      <formula>$D5="Cumple"</formula>
    </cfRule>
    <cfRule type="expression" priority="2" dxfId="1">
      <formula>$D5="Parcial"</formula>
    </cfRule>
    <cfRule type="expression" priority="3" dxfId="2">
      <formula>$D5="No cumple"</formula>
    </cfRule>
  </conditionalFormatting>
  <conditionalFormatting sqref="G5:G128">
    <cfRule type="expression" priority="4" dxfId="0">
      <formula>$G5="Corregido"</formula>
    </cfRule>
    <cfRule type="expression" priority="5" dxfId="1">
      <formula>$G5="En proceso"</formula>
    </cfRule>
    <cfRule type="expression" priority="6" dxfId="2">
      <formula>$G5="Pendiente"</formula>
    </cfRule>
    <cfRule type="expression" priority="7" dxfId="3">
      <formula>$G5="No aplica"</formula>
    </cfRule>
  </conditionalFormatting>
  <dataValidations count="1">
    <dataValidation sqref="G5:G128" showDropDown="0" showInputMessage="0" showErrorMessage="0" allowBlank="1" type="list">
      <formula1>"Pendiente,En proceso,Corregido,No aplica"</formula1>
    </dataValidation>
  </dataValidations>
  <pageMargins left="0.75" right="0.75" top="1" bottom="1" header="0.5" footer="0.5"/>
  <pageSetup orientation="landscape" paperSize="1" fitToHeight="0" fitToWidth="1"/>
</worksheet>
</file>

<file path=xl/worksheets/sheet5.xml><?xml version="1.0" encoding="utf-8"?>
<worksheet xmlns="http://schemas.openxmlformats.org/spreadsheetml/2006/main">
  <sheetPr>
    <outlinePr summaryBelow="1" summaryRight="1"/>
    <pageSetUpPr fitToPage="1"/>
  </sheetPr>
  <dimension ref="A1:F104"/>
  <sheetViews>
    <sheetView zoomScale="90" workbookViewId="0">
      <pane ySplit="4" topLeftCell="A5" activePane="bottomLeft" state="frozen"/>
      <selection pane="bottomLeft" activeCell="A1" sqref="A1"/>
    </sheetView>
  </sheetViews>
  <sheetFormatPr baseColWidth="8" defaultRowHeight="15"/>
  <cols>
    <col width="16" customWidth="1" min="1" max="1"/>
    <col width="10" customWidth="1" min="2" max="2"/>
    <col width="12" customWidth="1" min="3" max="3"/>
    <col width="70" customWidth="1" min="4" max="4"/>
    <col width="55" customWidth="1" min="5" max="5"/>
    <col width="13" customWidth="1" min="6" max="6"/>
  </cols>
  <sheetData>
    <row r="1">
      <c r="A1" s="1" t="inlineStr">
        <is>
          <t>Observaciones de coherencia entre los puntos</t>
        </is>
      </c>
    </row>
    <row r="2">
      <c r="A2" s="2" t="inlineStr">
        <is>
          <t>Ordenadas por prioridad.</t>
        </is>
      </c>
    </row>
    <row r="4">
      <c r="A4" s="4" t="inlineStr">
        <is>
          <t>Punto</t>
        </is>
      </c>
      <c r="B4" s="4" t="inlineStr">
        <is>
          <t>Prioridad</t>
        </is>
      </c>
      <c r="C4" s="4" t="inlineStr">
        <is>
          <t>Tipo</t>
        </is>
      </c>
      <c r="D4" s="4" t="inlineStr">
        <is>
          <t>Observación</t>
        </is>
      </c>
      <c r="E4" s="4" t="inlineStr">
        <is>
          <t>Recomendación</t>
        </is>
      </c>
      <c r="F4" s="4" t="inlineStr">
        <is>
          <t>Seguimiento</t>
        </is>
      </c>
    </row>
    <row r="5">
      <c r="A5" s="5" t="inlineStr">
        <is>
          <t>1.6</t>
        </is>
      </c>
      <c r="B5" s="6" t="inlineStr">
        <is>
          <t>Alta</t>
        </is>
      </c>
      <c r="C5" s="6" t="inlineStr">
        <is>
          <t>Normativa</t>
        </is>
      </c>
      <c r="D5" s="5" t="inlineStr">
        <is>
          <t>1.6 afirma que las modalidades de graduación de ambos grados técnicos están «en el Artículo 66 del Reglamento del Régimen Académico Estudiantil», pero el punto 13 advierte que «El Artículo 66... establece para el Técnico Universitario Superior la pasantía, la monografía y el proyecto de grado técnico, y no incluye el examen de grado», y para el Técnico Universitario Medio cita el Artículo 73.</t>
        </is>
      </c>
      <c r="E5" s="5" t="inlineStr">
        <is>
          <t>Ajustar 1.6 a la base normativa que la comisión confirme para el examen de grado técnico superior y la graduación directa del técnico medio, y citar el mismo artículo en 1, 5 y 13.</t>
        </is>
      </c>
      <c r="F5" s="8" t="inlineStr">
        <is>
          <t>Pendiente</t>
        </is>
      </c>
    </row>
    <row r="6">
      <c r="A6" s="5" t="inlineStr">
        <is>
          <t>1.6 / 3.2.1</t>
        </is>
      </c>
      <c r="B6" s="6" t="inlineStr">
        <is>
          <t>Alta</t>
        </is>
      </c>
      <c r="C6" s="6" t="inlineStr">
        <is>
          <t>Normativa</t>
        </is>
      </c>
      <c r="D6" s="5" t="inlineStr">
        <is>
          <t>El Reglamento General de Títulos y Grados se cita con congresos distintos: 1.6 «aprobado en el XIII Congreso Nacional de Universidades» y el Cuadro 11 de 3.2.1 «XI Congreso Nacional de Universidades, 2009».</t>
        </is>
      </c>
      <c r="E6" s="5" t="inlineStr">
        <is>
          <t>Verificar el congreso que aprobó la versión vigente del Reglamento y unificar la cita en 1.6, 3.2.1, 5 y 13.</t>
        </is>
      </c>
      <c r="F6" s="8" t="inlineStr">
        <is>
          <t>Pendiente</t>
        </is>
      </c>
    </row>
    <row r="7">
      <c r="A7" s="5" t="inlineStr">
        <is>
          <t>4.3, 4.4.1 y 4.2.7</t>
        </is>
      </c>
      <c r="B7" s="6" t="inlineStr">
        <is>
          <t>Alta</t>
        </is>
      </c>
      <c r="C7" s="6" t="inlineStr">
        <is>
          <t>Otro</t>
        </is>
      </c>
      <c r="D7" s="5" t="inlineStr">
        <is>
          <t>Contradicción sobre el inglés técnico: 4.3.1 lo incluye entre los ejes que «atraviesan todas las áreas y años de estudio» y el objetivo 5 lo exige «de forma explícita en todas las asignaturas»; 4.4.1 lo limita a «las asignaturas de los últimos años» y lo marca como «(*) Materia extracurricular propuesta». El perfil promete «conocimiento del inglés técnico contable» y el punto 3 dice que «Se incorpora».</t>
        </is>
      </c>
      <c r="E7" s="5" t="inlineStr">
        <is>
          <t>Definir una sola fórmula (eje transversal en todos los años, asignatura extracurricular o requisito) y aplicarla en 4.3, 4.4 y el perfil.</t>
        </is>
      </c>
      <c r="F7" s="8" t="inlineStr">
        <is>
          <t>Pendiente</t>
        </is>
      </c>
    </row>
    <row r="8">
      <c r="A8" s="5" t="inlineStr">
        <is>
          <t>4.8 vs 2, 3 y 4.3</t>
        </is>
      </c>
      <c r="B8" s="6" t="inlineStr">
        <is>
          <t>Alta</t>
        </is>
      </c>
      <c r="C8" s="6" t="inlineStr">
        <is>
          <t>Otro</t>
        </is>
      </c>
      <c r="D8" s="5" t="inlineStr">
        <is>
          <t>Los puntos 2 y 3 presentan la práctica como obligatoria («pasantías preprofesionales obligatorias»; Cuadro del punto 3: «Práctica | Ausente | Obligatoria desde tercer año») y 4.3.1 la justifica por la «demanda ... de prácticas obligatorias desde el tercer año», pero 4.8 nunca declara la obligatoriedad: solo cita que «el 88 % de los estudiantes respalda las prácticas obligatorias».</t>
        </is>
      </c>
      <c r="E8" s="5" t="inlineStr">
        <is>
          <t>Declarar expresamente en 4.8 que la práctica preprofesional es obligatoria desde 3.° año (o corregir los puntos 2 y 3).</t>
        </is>
      </c>
      <c r="F8" s="8" t="inlineStr">
        <is>
          <t>Pendiente</t>
        </is>
      </c>
    </row>
    <row r="9">
      <c r="A9" s="5" t="inlineStr">
        <is>
          <t>4.8.3</t>
        </is>
      </c>
      <c r="B9" s="6" t="inlineStr">
        <is>
          <t>Alta</t>
        </is>
      </c>
      <c r="C9" s="6" t="inlineStr">
        <is>
          <t>Pendiente</t>
        </is>
      </c>
      <c r="D9" s="5" t="inlineStr">
        <is>
          <t>No se fija la carga horaria de prácticas: «La carga horaria mínima ... se establecerán en el Reglamento de Prácticas Preprofesionales de la Carrera»; el punto 13 registra ese reglamento como «Elaborar». Incumple el criterio del Art. 12 («cierta cantidad de horas»).</t>
        </is>
      </c>
      <c r="E9" s="5" t="inlineStr">
        <is>
          <t>Fijar en 4.8 las horas mínimas de práctica por año y en total.</t>
        </is>
      </c>
      <c r="F9" s="8" t="inlineStr">
        <is>
          <t>Pendiente</t>
        </is>
      </c>
    </row>
    <row r="10">
      <c r="A10" s="5" t="inlineStr">
        <is>
          <t>5.4.2 / 7.2.1 / 13.1.4 Art. 4 y 42</t>
        </is>
      </c>
      <c r="B10" s="6" t="inlineStr">
        <is>
          <t>Alta</t>
        </is>
      </c>
      <c r="C10" s="6" t="inlineStr">
        <is>
          <t>Normativa</t>
        </is>
      </c>
      <c r="D10" s="5" t="inlineStr">
        <is>
          <t>Resuelto en parte. El diplomado de articulación figura como modalidad en 13 Art. 4 («Diplomado de articulación entre grado y postgrado») y 7.2.1 remite a la «modalidad de graduación mediante diplomado del punto 5.4.2», pero 5.4.2 no la incluye (solo cita el diplomado para recuperar el derecho al examen). CA.txt la tenía con «800 horas académicas (20 créditos)».</t>
        </is>
      </c>
      <c r="E10" s="5" t="inlineStr">
        <is>
          <t>La modalidad se incorporó en el punto 5.4.2 como inciso f, con el texto del archivo 04 CA y resaltada en amarillo para revisarla después. Falta verificar que 7.2.1 y los Artículos 4 y 42 del punto 13 coincidan con ese texto.</t>
        </is>
      </c>
      <c r="F10" s="8" t="inlineStr">
        <is>
          <t>Pendiente</t>
        </is>
      </c>
    </row>
    <row r="11">
      <c r="A11" s="5" t="inlineStr">
        <is>
          <t>5.4.2 / 13.1.4</t>
        </is>
      </c>
      <c r="B11" s="6" t="inlineStr">
        <is>
          <t>Alta</t>
        </is>
      </c>
      <c r="C11" s="6" t="inlineStr">
        <is>
          <t>Pendiente</t>
        </is>
      </c>
      <c r="D11" s="5" t="inlineStr">
        <is>
          <t>Marcador sin completar: PETAENG «aprobado mediante xxx».</t>
        </is>
      </c>
      <c r="E11" s="5" t="inlineStr">
        <is>
          <t>Pendiente: la comisión solicitará la resolución de aprobación del PETAENG para completar el «xxx».</t>
        </is>
      </c>
      <c r="F11" s="8" t="inlineStr">
        <is>
          <t>Pendiente</t>
        </is>
      </c>
    </row>
    <row r="12">
      <c r="A12" s="5" t="inlineStr">
        <is>
          <t>5.4.2 / 13.1.4 Art. 41</t>
        </is>
      </c>
      <c r="B12" s="6" t="inlineStr">
        <is>
          <t>Alta</t>
        </is>
      </c>
      <c r="C12" s="6" t="inlineStr">
        <is>
          <t>Cifras</t>
        </is>
      </c>
      <c r="D12" s="5" t="inlineStr">
        <is>
          <t>Requisitos contradictorios de graduación por excelencia: 5.4.2 exige «promedio general de notas igual o superior a 90 puntos» y admite materias «aprobadas en cursos de temporada»; 13 Art. 41 exige aprobar «en primera instancia, sin ... mesas de examen; concluir el plan en los cinco años» y un promedio «actualmente de 75 puntos».</t>
        </is>
      </c>
      <c r="E12" s="5" t="inlineStr">
        <is>
          <t>La comisión definió un promedio mínimo de 90 puntos. Ajustar el Artículo 41 del punto 13 a 90 puntos y unificar el tratamiento de las asignaturas aprobadas en temporada o en mesa y el plazo de cinco años. Aún no se identificó la resolución que respalda el promedio de 90 puntos.</t>
        </is>
      </c>
      <c r="F12" s="8" t="inlineStr">
        <is>
          <t>Pendiente</t>
        </is>
      </c>
    </row>
    <row r="13">
      <c r="A13" s="5" t="inlineStr">
        <is>
          <t>11.1.1 / 8.6</t>
        </is>
      </c>
      <c r="B13" s="6" t="inlineStr">
        <is>
          <t>Alta</t>
        </is>
      </c>
      <c r="C13" s="6" t="inlineStr">
        <is>
          <t>Referencias</t>
        </is>
      </c>
      <c r="D13" s="5" t="inlineStr">
        <is>
          <t>11.1.1 afirma «el punto 8.6 fija una meta intermedia de 80 estudiantes por paralelo, que requiere 302 paralelos, y una meta objetivo de 60», pero 8.6 no fija ninguna meta ni máximo.</t>
        </is>
      </c>
      <c r="E13" s="5" t="inlineStr">
        <is>
          <t>Incorporar en 8.6 las metas de 80 y 60 estudiantes (y el mínimo), que sustentan los 75 paralelos adicionales del Cuadro 11.</t>
        </is>
      </c>
      <c r="F13" s="8" t="inlineStr">
        <is>
          <t>Pendiente</t>
        </is>
      </c>
    </row>
    <row r="14">
      <c r="A14" s="5" t="inlineStr">
        <is>
          <t>13.1.2 / 13.1.3</t>
        </is>
      </c>
      <c r="B14" s="6" t="inlineStr">
        <is>
          <t>Alta</t>
        </is>
      </c>
      <c r="C14" s="6" t="inlineStr">
        <is>
          <t>Referencias</t>
        </is>
      </c>
      <c r="D14" s="5" t="inlineStr">
        <is>
          <t>Se remite a un punto que ya no existe: «Puntos 4.7.5 y 5.3» (Cuadro 2) y «ADM-101 ... y CPA-406, conforme al punto 4.7.5» (13.1.3). Según hechos.md, el detalle de mesas está en 5.3.4.</t>
        </is>
      </c>
      <c r="E14" s="5" t="inlineStr">
        <is>
          <t>Reemplazar 4.7.5 por 5.3.4 (y 5.3.3 para cursos de temporada).</t>
        </is>
      </c>
      <c r="F14" s="8" t="inlineStr">
        <is>
          <t>Pendiente</t>
        </is>
      </c>
    </row>
    <row r="15">
      <c r="A15" s="5" t="inlineStr">
        <is>
          <t>13.1.4 Art. 44 / 5.4.3</t>
        </is>
      </c>
      <c r="B15" s="6" t="inlineStr">
        <is>
          <t>Alta</t>
        </is>
      </c>
      <c r="C15" s="6" t="inlineStr">
        <is>
          <t>Pendiente</t>
        </is>
      </c>
      <c r="D15" s="5" t="inlineStr">
        <is>
          <t>Queda una nota interna en el texto: «Observación para la comisión / El Artículo 66 ... no incluye el examen de grado. La comisión debe confirmar el respaldo normativo del examen de grado técnico superior, como se indica en el punto 5.4.3», pero 5.4.3 no dice nada al respecto.</t>
        </is>
      </c>
      <c r="E15" s="5" t="inlineStr">
        <is>
          <t>Resolver el respaldo normativo del examen de grado técnico superior (o adoptar pasantía, monografía o proyecto técnico), eliminar la nota y ajustar 5.4.1, 5.4.3 y 13 Art. 44.</t>
        </is>
      </c>
      <c r="F15" s="8" t="inlineStr">
        <is>
          <t>Pendiente</t>
        </is>
      </c>
    </row>
    <row r="16">
      <c r="A16" s="5" t="inlineStr">
        <is>
          <t>1.13 / 3.2.1 / 3.5.3</t>
        </is>
      </c>
      <c r="B16" s="6" t="inlineStr">
        <is>
          <t>Media</t>
        </is>
      </c>
      <c r="C16" s="6" t="inlineStr">
        <is>
          <t>Normativa</t>
        </is>
      </c>
      <c r="D16" s="5" t="inlineStr">
        <is>
          <t>Las metas de acreditación se atribuyen a fuentes distintas: 1.13 «metas del Plan de Desarrollo 2026-2030 de la Carrera» (reacreditación y ARCU-SUR); 3.2.1 metas del PEI facultativo «acreditación nacional en 2026 y la internacional (MERCOSUR/ARCUSUR) en 2027»; 3.5.3 «la acreditación internacional, meta de la Visión 2030 de la UMSA». También varía la grafía ARCU-SUR / ARCUSUR.</t>
        </is>
      </c>
      <c r="E16" s="5" t="inlineStr">
        <is>
          <t>Unificar la fuente (PEI facultativo, HCF 1013/2026), las fechas meta y la grafía «ARCU-SUR» en 1.13, 3.2.1 y 3.5.3.</t>
        </is>
      </c>
      <c r="F16" s="8" t="inlineStr">
        <is>
          <t>Pendiente</t>
        </is>
      </c>
    </row>
    <row r="17">
      <c r="A17" s="5" t="inlineStr">
        <is>
          <t>2.3 / 1.13</t>
        </is>
      </c>
      <c r="B17" s="6" t="inlineStr">
        <is>
          <t>Media</t>
        </is>
      </c>
      <c r="C17" s="6" t="inlineStr">
        <is>
          <t>Nombres</t>
        </is>
      </c>
      <c r="D17" s="5" t="inlineStr">
        <is>
          <t>El instrumento de planificación se denomina de tres formas: «Plan Estratégico Institucional de la Carrera» (2.3), «Plan de Desarrollo 2026-2030 de la Carrera» (1.13) y PEI de la Facultad (3.2.1).</t>
        </is>
      </c>
      <c r="E17" s="5" t="inlineStr">
        <is>
          <t>Usar una sola denominación y aclarar si la Carrera tiene plan propio o forma parte del PEI facultativo.</t>
        </is>
      </c>
      <c r="F17" s="8" t="inlineStr">
        <is>
          <t>Pendiente</t>
        </is>
      </c>
    </row>
    <row r="18">
      <c r="A18" s="5" t="inlineStr">
        <is>
          <t>2.6</t>
        </is>
      </c>
      <c r="B18" s="6" t="inlineStr">
        <is>
          <t>Media</t>
        </is>
      </c>
      <c r="C18" s="6" t="inlineStr">
        <is>
          <t>Otro</t>
        </is>
      </c>
      <c r="D18" s="5" t="inlineStr">
        <is>
          <t>Contradicción sobre la dependencia de la Unidad de Postgrado: 2.6 dice «Unidad de Postgrado. Depende del Instituto», mientras el organigrama 2013 descrito en el mismo punto señala «Dependencia directa de la Jefatura: Unidad de Postgrado», y 2.1 y 2.5.2 la presentan como unidad dependiente de la Carrera, al mismo nivel que el Instituto.</t>
        </is>
      </c>
      <c r="E18" s="5" t="inlineStr">
        <is>
          <t>Definir la dependencia real de la Unidad de Postgrado y reflejarla igual en el texto y en la figura del organigrama.</t>
        </is>
      </c>
      <c r="F18" s="8" t="inlineStr">
        <is>
          <t>Pendiente</t>
        </is>
      </c>
    </row>
    <row r="19">
      <c r="A19" s="5" t="inlineStr">
        <is>
          <t>2.7.1 (Cuadro 6)</t>
        </is>
      </c>
      <c r="B19" s="6" t="inlineStr">
        <is>
          <t>Media</t>
        </is>
      </c>
      <c r="C19" s="6" t="inlineStr">
        <is>
          <t>Cifras</t>
        </is>
      </c>
      <c r="D19" s="5" t="inlineStr">
        <is>
          <t>El Cuadro 6 se titula «Docentes por categoría» con un total de 183, pero el mismo punto establece que hay 82 docentes; 183 son designaciones (el Cuadro 9 aclara «expresado en cantidad de asignaturas»).</t>
        </is>
      </c>
      <c r="E19" s="5" t="inlineStr">
        <is>
          <t>Titular el Cuadro 6 «Designaciones docentes por categoría» y decir «designaciones» en el texto que lo comenta.</t>
        </is>
      </c>
      <c r="F19" s="8" t="inlineStr">
        <is>
          <t>Pendiente</t>
        </is>
      </c>
    </row>
    <row r="20">
      <c r="A20" s="5" t="inlineStr">
        <is>
          <t>3.1.3 (Cuadro 10)</t>
        </is>
      </c>
      <c r="B20" s="6" t="inlineStr">
        <is>
          <t>Media</t>
        </is>
      </c>
      <c r="C20" s="6" t="inlineStr">
        <is>
          <t>Referencias</t>
        </is>
      </c>
      <c r="D20" s="5" t="inlineStr">
        <is>
          <t>El Cuadro 10 fundamenta la reorientación en una «encuesta propia de la Carrera», que no se presenta ni se cita en ningún otro lugar del punto 3 (las fuentes usadas son Ipsos CIESMORI, BID y el FODA del Instituto).</t>
        </is>
      </c>
      <c r="E20" s="5" t="inlineStr">
        <is>
          <t>Identificar la encuesta (año, población, tamaño) o sustituir la referencia por el FODA del Instituto 2025.</t>
        </is>
      </c>
      <c r="F20" s="8" t="inlineStr">
        <is>
          <t>Pendiente</t>
        </is>
      </c>
    </row>
    <row r="21">
      <c r="A21" s="5" t="inlineStr">
        <is>
          <t>3.5.4 (Cuadro 30)</t>
        </is>
      </c>
      <c r="B21" s="6" t="inlineStr">
        <is>
          <t>Media</t>
        </is>
      </c>
      <c r="C21" s="6" t="inlineStr">
        <is>
          <t>Otro</t>
        </is>
      </c>
      <c r="D21" s="5" t="inlineStr">
        <is>
          <t>El Cuadro 30 indica que el Plan 2013 solo tiene «Técnico Superior» como salida intermedia y que la propuesta añade «Técnico Universitario Medio», mientras que 1.6, 1.9 y 2.1 presentan el Técnico Universitario Medio como grado ya vigente desde la HCU 426/2024.</t>
        </is>
      </c>
      <c r="E21" s="5" t="inlineStr">
        <is>
          <t>Precisar en el Cuadro 30 que el Técnico Universitario Medio existe desde 2024 y que la innovación es su integración en la malla, o corregir 1.6 y 2.1 si no se aplica en el Plan 2013.</t>
        </is>
      </c>
      <c r="F21" s="8" t="inlineStr">
        <is>
          <t>Pendiente</t>
        </is>
      </c>
    </row>
    <row r="22">
      <c r="A22" s="5" t="inlineStr">
        <is>
          <t>3.5.5 (Decisión) / 3.2.1</t>
        </is>
      </c>
      <c r="B22" s="6" t="inlineStr">
        <is>
          <t>Media</t>
        </is>
      </c>
      <c r="C22" s="6" t="inlineStr">
        <is>
          <t>Otro</t>
        </is>
      </c>
      <c r="D22" s="5" t="inlineStr">
        <is>
          <t>La conclusión dice «Corresponde declarar la necesidad de rediseño curricular», pero 1.13 y 3.2.1 informan que la declaratoria ya fue aprobada por la Resolución HCF N.º 1057/2026 de 25 de agosto de 2026.</t>
        </is>
      </c>
      <c r="E22" s="5" t="inlineStr">
        <is>
          <t>Redactar la decisión como ratificación: «La justificación confirma la necesidad de rediseño curricular declarada por la Resolución HCF N.º 1057/2026».</t>
        </is>
      </c>
      <c r="F22" s="8" t="inlineStr">
        <is>
          <t>Pendiente</t>
        </is>
      </c>
    </row>
    <row r="23">
      <c r="A23" s="5" t="inlineStr">
        <is>
          <t>3.5.5 (Cuadro 31)</t>
        </is>
      </c>
      <c r="B23" s="6" t="inlineStr">
        <is>
          <t>Media</t>
        </is>
      </c>
      <c r="C23" s="6" t="inlineStr">
        <is>
          <t>Referencias</t>
        </is>
      </c>
      <c r="D23" s="5" t="inlineStr">
        <is>
          <t>El Cuadro 31 cita como evidencia «Álgebra, Cálculo y Matemáticas Actuariales, las menos pertinentes, entre 29 % y 42 %» y remite al subpunto 3.1, pero 3.1 no presenta esos porcentajes (en 3.1.3 solo figuran Contabilidad Básica 65 %, Contabilidad de Tributos 27 % y Gabinete de Auditoría Financiera 24 %).</t>
        </is>
      </c>
      <c r="E23" s="5" t="inlineStr">
        <is>
          <t>Incluir en 3.1.3 el dato de pertinencia de las asignaturas de Matemáticas con su fuente (lámina de Ipsos CIESMORI), o corregir la evidencia del Cuadro 31.</t>
        </is>
      </c>
      <c r="F23" s="8" t="inlineStr">
        <is>
          <t>Pendiente</t>
        </is>
      </c>
    </row>
    <row r="24">
      <c r="A24" s="5" t="inlineStr">
        <is>
          <t>4.1.2</t>
        </is>
      </c>
      <c r="B24" s="6" t="inlineStr">
        <is>
          <t>Media</t>
        </is>
      </c>
      <c r="C24" s="6" t="inlineStr">
        <is>
          <t>Otro</t>
        </is>
      </c>
      <c r="D24" s="5" t="inlineStr">
        <is>
          <t>Párrafo duplicado: la frase «El 46% de los egresados percibe saturación en el perfil tradicional limitado a la auditoría financiera, mientras que las firmas líderes generan más del 80 % de sus ingresos...» aparece igual en «Pertinencia nacional y regional» y en «Diversificación del mercado».</t>
        </is>
      </c>
      <c r="E24" s="5" t="inlineStr">
        <is>
          <t>Eliminar la frase repetida de «Pertinencia nacional y regional».</t>
        </is>
      </c>
      <c r="F24" s="8" t="inlineStr">
        <is>
          <t>Pendiente</t>
        </is>
      </c>
    </row>
    <row r="25">
      <c r="A25" s="5" t="inlineStr">
        <is>
          <t>4.3.1 y 4.7.2 vs 4.5</t>
        </is>
      </c>
      <c r="B25" s="6" t="inlineStr">
        <is>
          <t>Media</t>
        </is>
      </c>
      <c r="C25" s="6" t="inlineStr">
        <is>
          <t>Otro</t>
        </is>
      </c>
      <c r="D25" s="5" t="inlineStr">
        <is>
          <t>4.3.1 dice que el itinerario «para cada elemento fija los criterios de desempeño, las evidencias ... conforme al Artículo 9», y 4.7.2 que «Para cada elemento de competencia, el plan de asignatura define tres tipos de evidencias»; los planes no tienen horas ni créditos por elemento (exigidos por el Art. 9) y presentan 4 evidencias de desempeño y 4 de producto por asignatura.</t>
        </is>
      </c>
      <c r="E25" s="5" t="inlineStr">
        <is>
          <t>Verificar la asignación de evidencias por elemento y, si no existe, moderar la redacción o completar los planes.</t>
        </is>
      </c>
      <c r="F25" s="8" t="inlineStr">
        <is>
          <t>Pendiente</t>
        </is>
      </c>
    </row>
    <row r="26">
      <c r="A26" s="5" t="inlineStr">
        <is>
          <t>4.3.4</t>
        </is>
      </c>
      <c r="B26" s="6" t="inlineStr">
        <is>
          <t>Media</t>
        </is>
      </c>
      <c r="C26" s="6" t="inlineStr">
        <is>
          <t>Cifras</t>
        </is>
      </c>
      <c r="D26" s="5" t="inlineStr">
        <is>
          <t>El objetivo 6 atribuye el 88 % a otra demanda: «El 88 % de estudiantes que demanda aprendizaje basado en proyectos reales». En 4.1.2, 4.3.1, 4.8 y el punto 3 el 88 % es el respaldo a «las pasantías preprofesionales obligatorias».</t>
        </is>
      </c>
      <c r="E26" s="5" t="inlineStr">
        <is>
          <t>Corregir la columna «Responde a» del objetivo 6 con el dato correcto o citar la fuente de ese 88 %.</t>
        </is>
      </c>
      <c r="F26" s="8" t="inlineStr">
        <is>
          <t>Pendiente</t>
        </is>
      </c>
    </row>
    <row r="27">
      <c r="A27" s="5" t="inlineStr">
        <is>
          <t>4.3.5 y 4.4.3</t>
        </is>
      </c>
      <c r="B27" s="6" t="inlineStr">
        <is>
          <t>Media</t>
        </is>
      </c>
      <c r="C27" s="6" t="inlineStr">
        <is>
          <t>Otro</t>
        </is>
      </c>
      <c r="D27" s="5" t="inlineStr">
        <is>
          <t>Los ciclos «Básico 1.° y 2.°», «Profesional 3.° y 4.°» y «De integración 5.°» no coinciden con los grados intermedios: el Técnico Universitario Superior se obtiene al concluir 3.° año (24 asignaturas), dentro del ciclo profesional, y la malla no marca las salidas.</t>
        </is>
      </c>
      <c r="E27" s="5" t="inlineStr">
        <is>
          <t>Explicar la articulación de los ciclos con TUM y TUS y señalarla en la malla.</t>
        </is>
      </c>
      <c r="F27" s="8" t="inlineStr">
        <is>
          <t>Pendiente</t>
        </is>
      </c>
    </row>
    <row r="28">
      <c r="A28" s="5" t="inlineStr">
        <is>
          <t>4.4.2</t>
        </is>
      </c>
      <c r="B28" s="6" t="inlineStr">
        <is>
          <t>Media</t>
        </is>
      </c>
      <c r="C28" s="6" t="inlineStr">
        <is>
          <t>Otro</t>
        </is>
      </c>
      <c r="D28" s="5" t="inlineStr">
        <is>
          <t>La competencia del área Información Financiera («Prepara, presenta y analiza estados financieros, informes de gestión y de sostenibilidad...») se asigna también a CPA-203 Contabilidad de Tributos, CPA-204 Métodos y Técnicas de Investigación y CPA-405 Finanzas Corporativas, que no quedan cubiertas por su enunciado; la competencia global tampoco menciona la consultoría ni la tributación del perfil.</t>
        </is>
      </c>
      <c r="E28" s="5" t="inlineStr">
        <is>
          <t>Ampliar la competencia del área y la global a tributación, finanzas e investigación.</t>
        </is>
      </c>
      <c r="F28" s="8" t="inlineStr">
        <is>
          <t>Pendiente</t>
        </is>
      </c>
    </row>
    <row r="29">
      <c r="A29" s="5" t="inlineStr">
        <is>
          <t>4.4.3</t>
        </is>
      </c>
      <c r="B29" s="6" t="inlineStr">
        <is>
          <t>Media</t>
        </is>
      </c>
      <c r="C29" s="6" t="inlineStr">
        <is>
          <t>Nombres</t>
        </is>
      </c>
      <c r="D29" s="5" t="inlineStr">
        <is>
          <t>CPA-507 figura como «Auditoría de Proyectos Públicos y Privados»; la malla definitiva y el punto 8 la nombran «Auditoría de Proyectos Público y Privado». Los puntos 9, 13 y 16 usan la forma de 4.4.</t>
        </is>
      </c>
      <c r="E29" s="5" t="inlineStr">
        <is>
          <t>Fijar una denominación oficial y unificarla en todos los puntos (si se corrige la malla definitiva, actualizar hechos y el punto 8).</t>
        </is>
      </c>
      <c r="F29" s="8" t="inlineStr">
        <is>
          <t>Pendiente</t>
        </is>
      </c>
    </row>
    <row r="30">
      <c r="A30" s="5" t="inlineStr">
        <is>
          <t>4.4.4 vs 4.5</t>
        </is>
      </c>
      <c r="B30" s="6" t="inlineStr">
        <is>
          <t>Media</t>
        </is>
      </c>
      <c r="C30" s="6" t="inlineStr">
        <is>
          <t>Otro</t>
        </is>
      </c>
      <c r="D30" s="5" t="inlineStr">
        <is>
          <t>4.4.4 afirma que «La distinción de horas teóricas, prácticas y de laboratorio se consigna en cada plan de asignatura», pero los planes de 4.5 desagregan HP, HAA, HTG, HIP y HE, no horas teóricas, prácticas y de laboratorio.</t>
        </is>
      </c>
      <c r="E30" s="5" t="inlineStr">
        <is>
          <t>Redactar: «La distribución en HP, HAA, HTG, HIP y HE se consigna en cada plan de asignatura».</t>
        </is>
      </c>
      <c r="F30" s="8" t="inlineStr">
        <is>
          <t>Pendiente</t>
        </is>
      </c>
    </row>
    <row r="31">
      <c r="A31" s="5" t="inlineStr">
        <is>
          <t>4.7.3 vs 4.5</t>
        </is>
      </c>
      <c r="B31" s="6" t="inlineStr">
        <is>
          <t>Media</t>
        </is>
      </c>
      <c r="C31" s="6" t="inlineStr">
        <is>
          <t>Otro</t>
        </is>
      </c>
      <c r="D31" s="5" t="inlineStr">
        <is>
          <t>4.7.3 dice que el plan de asignatura presenta «el cronograma de evaluaciones, la ponderación de cada evidencia y los criterios de desempeño», pero los planes de 4.5 no tienen cronograma.</t>
        </is>
      </c>
      <c r="E31" s="5" t="inlineStr">
        <is>
          <t>Incorporar el cronograma en los planes o ajustar el texto de 4.7.3.</t>
        </is>
      </c>
      <c r="F31" s="8" t="inlineStr">
        <is>
          <t>Pendiente</t>
        </is>
      </c>
    </row>
    <row r="32">
      <c r="A32" s="5" t="inlineStr">
        <is>
          <t>4.8.3 vs 8.4</t>
        </is>
      </c>
      <c r="B32" s="6" t="inlineStr">
        <is>
          <t>Media</t>
        </is>
      </c>
      <c r="C32" s="6" t="inlineStr">
        <is>
          <t>Cifras</t>
        </is>
      </c>
      <c r="D32" s="5" t="inlineStr">
        <is>
          <t>4.8.3 dice que las horas de práctica «se registran como horas no presenciales de las asignaturas vinculadas», sin nombrarlas; el punto 8.4 cuantifica 874 h de HIP que «comprenden ... las prácticas vinculadas». No se sabe qué parte de las 874 h es práctica preprofesional.</t>
        </is>
      </c>
      <c r="E32" s="5" t="inlineStr">
        <is>
          <t>Identificar en 4.8 las asignaturas vinculadas y la parte de sus HIP que corresponde a práctica preprofesional.</t>
        </is>
      </c>
      <c r="F32" s="8" t="inlineStr">
        <is>
          <t>Pendiente</t>
        </is>
      </c>
    </row>
    <row r="33">
      <c r="A33" s="5" t="inlineStr">
        <is>
          <t>5.3.2 / 13.1.2</t>
        </is>
      </c>
      <c r="B33" s="6" t="inlineStr">
        <is>
          <t>Media</t>
        </is>
      </c>
      <c r="C33" s="6" t="inlineStr">
        <is>
          <t>Referencias</t>
        </is>
      </c>
      <c r="D33" s="5" t="inlineStr">
        <is>
          <t>5.3.2 indica que los plazos de suspensión y reincorporación «se incorporarán al Reglamento Interno de la Carrera señalado en el punto 13.1», pero el Cuadro 2 de 13.1.2 no incluye ningún reglamento de permanencia, suspensión o reincorporación.</t>
        </is>
      </c>
      <c r="E33" s="5" t="inlineStr">
        <is>
          <t>Añadir ese reglamento al Cuadro 2 o corregir la remisión.</t>
        </is>
      </c>
      <c r="F33" s="8" t="inlineStr">
        <is>
          <t>Pendiente</t>
        </is>
      </c>
    </row>
    <row r="34">
      <c r="A34" s="5" t="inlineStr">
        <is>
          <t>5.3.3 / CA.txt</t>
        </is>
      </c>
      <c r="B34" s="6" t="inlineStr">
        <is>
          <t>Media</t>
        </is>
      </c>
      <c r="C34" s="6" t="inlineStr">
        <is>
          <t>Normativa</t>
        </is>
      </c>
      <c r="D34" s="5" t="inlineStr">
        <is>
          <t>Resuelto en el punto 5.3.3. 5.3.3 dice «Se elimina el requisito vigente de haber obtenido al menos 20 puntos sobre 100», mientras que CA.txt y 04 Plan exigen «nota previa igual o mayor a treinta (30) sobre cien». No queda claro cuál es el requisito vigente que se elimina.</t>
        </is>
      </c>
      <c r="E34" s="5" t="inlineStr">
        <is>
          <t>El punto 5.3.3 se reemplazó por el texto del archivo 04 CA, que exige una nota previa de al menos 30 sobre 100 y ya no incluye la modalidad híbrida. Ajustar el punto 13.1.3, que todavía habla de recuperación con tutoría complementaria obligatoria.</t>
        </is>
      </c>
      <c r="F34" s="8" t="inlineStr">
        <is>
          <t>Pendiente</t>
        </is>
      </c>
    </row>
    <row r="35">
      <c r="A35" s="5" t="inlineStr">
        <is>
          <t>5.4.2</t>
        </is>
      </c>
      <c r="B35" s="6" t="inlineStr">
        <is>
          <t>Media</t>
        </is>
      </c>
      <c r="C35" s="6" t="inlineStr">
        <is>
          <t>Nombres</t>
        </is>
      </c>
      <c r="D35" s="5" t="inlineStr">
        <is>
          <t>Denominación distinta del PETAENG en el mismo punto: «Programa Excepcional de Titulación de Antiguos Egresados» y «Plan Excepcional de Titulación para Antiguos Estudiantes No Graduados».</t>
        </is>
      </c>
      <c r="E35" s="5" t="inlineStr">
        <is>
          <t>Usar una sola denominación oficial (la de 13 Art. 43 y CA.txt es «Plan Excepcional de Titulación para Antiguos Estudiantes No Graduados»).</t>
        </is>
      </c>
      <c r="F35" s="8" t="inlineStr">
        <is>
          <t>Pendiente</t>
        </is>
      </c>
    </row>
    <row r="36">
      <c r="A36" s="5" t="inlineStr">
        <is>
          <t>5.4.2 / 9.1.2 / 13 Cuadro 5 / 16 Cuadro 1</t>
        </is>
      </c>
      <c r="B36" s="6" t="inlineStr">
        <is>
          <t>Media</t>
        </is>
      </c>
      <c r="C36" s="6" t="inlineStr">
        <is>
          <t>Nombres</t>
        </is>
      </c>
      <c r="D36" s="5" t="inlineStr">
        <is>
          <t>CPA-507 aparece como «Auditoría de Proyectos Públicos y Privados»; en la malla definitiva (hechos.md y 8.4) es «Auditoría de Proyectos Público y Privado».</t>
        </is>
      </c>
      <c r="E36" s="5" t="inlineStr">
        <is>
          <t>Uniformar con el nombre de la malla.</t>
        </is>
      </c>
      <c r="F36" s="8" t="inlineStr">
        <is>
          <t>Pendiente</t>
        </is>
      </c>
    </row>
    <row r="37">
      <c r="A37" s="5" t="inlineStr">
        <is>
          <t>7.2</t>
        </is>
      </c>
      <c r="B37" s="6" t="inlineStr">
        <is>
          <t>Media</t>
        </is>
      </c>
      <c r="C37" s="6" t="inlineStr">
        <is>
          <t>Otro</t>
        </is>
      </c>
      <c r="D37" s="5" t="inlineStr">
        <is>
          <t>El subtítulo «7.2 Políticas y líneas de extensión universitaria» y «7.2.1 Políticas» aparecen dos veces, con dos listas de políticas parcialmente repetidas (Educación continua, Articulación con el postgrado, Difusión, Formación integral, Uso de la tecnología).</t>
        </is>
      </c>
      <c r="E37" s="5" t="inlineStr">
        <is>
          <t>Eliminar el primer bloque y conservar la versión ampliada.</t>
        </is>
      </c>
      <c r="F37" s="8" t="inlineStr">
        <is>
          <t>Pendiente</t>
        </is>
      </c>
    </row>
    <row r="38">
      <c r="A38" s="5" t="inlineStr">
        <is>
          <t>8.4 / 4.5</t>
        </is>
      </c>
      <c r="B38" s="6" t="inlineStr">
        <is>
          <t>Media</t>
        </is>
      </c>
      <c r="C38" s="6" t="inlineStr">
        <is>
          <t>Cifras</t>
        </is>
      </c>
      <c r="D38" s="5" t="inlineStr">
        <is>
          <t>CPA-204 Métodos y Técnicas de Investigación y CPA-510 Taller de Grado, las asignaturas de investigación, registran solo 10 horas de investigación y práctica cada una, por el reparto proporcional de sus horas no presenciales.</t>
        </is>
      </c>
      <c r="E38" s="5" t="inlineStr">
        <is>
          <t>Se mantienen como las trabajó la comisión de esas asignaturas. La comisión lo tomará en cuenta al evaluar sus planes; si cambian, debe actualizarse el total de 874 horas del punto 8.4.</t>
        </is>
      </c>
      <c r="F38" s="8" t="inlineStr">
        <is>
          <t>Pendiente</t>
        </is>
      </c>
    </row>
    <row r="39">
      <c r="A39" s="5" t="inlineStr">
        <is>
          <t>8 (intro y 8.5)</t>
        </is>
      </c>
      <c r="B39" s="6" t="inlineStr">
        <is>
          <t>Media</t>
        </is>
      </c>
      <c r="C39" s="6" t="inlineStr">
        <is>
          <t>Referencias</t>
        </is>
      </c>
      <c r="D39" s="5" t="inlineStr">
        <is>
          <t>«sistema de créditos del punto 4.3.5» y «desarrollado en el punto 4.3.5»: 4.3.5 es «Duración de la carrera en años o semestres»; los créditos se desarrollan en 4.4.3 y 4.4.4.</t>
        </is>
      </c>
      <c r="E39" s="5" t="inlineStr">
        <is>
          <t>Cambiar la remisión a los puntos 4.4.3 y 4.4.4.</t>
        </is>
      </c>
      <c r="F39" s="8" t="inlineStr">
        <is>
          <t>Pendiente</t>
        </is>
      </c>
    </row>
    <row r="40">
      <c r="A40" s="5" t="inlineStr">
        <is>
          <t>10.7 / 11.1.3 / 14.5 / 15</t>
        </is>
      </c>
      <c r="B40" s="6" t="inlineStr">
        <is>
          <t>Media</t>
        </is>
      </c>
      <c r="C40" s="6" t="inlineStr">
        <is>
          <t>Cifras</t>
        </is>
      </c>
      <c r="D40" s="5" t="inlineStr">
        <is>
          <t>Laboratorio del Monoblock Central: 10.7 registra «20» equipos, 20 muebles y 20 sillas; 15 indica «27 computadoras» y «68 mesas para computadoras y 68 sillas»; la capacidad declarada es 36.</t>
        </is>
      </c>
      <c r="E40" s="5" t="inlineStr">
        <is>
          <t>Unificar inventario y capacidad del laboratorio.</t>
        </is>
      </c>
      <c r="F40" s="8" t="inlineStr">
        <is>
          <t>Pendiente</t>
        </is>
      </c>
    </row>
    <row r="41">
      <c r="A41" s="5" t="inlineStr">
        <is>
          <t>11.1.2 / 15</t>
        </is>
      </c>
      <c r="B41" s="6" t="inlineStr">
        <is>
          <t>Media</t>
        </is>
      </c>
      <c r="C41" s="6" t="inlineStr">
        <is>
          <t>Cifras</t>
        </is>
      </c>
      <c r="D41" s="5" t="inlineStr">
        <is>
          <t>Capacidades de aulas contradictorias: 11 (Cuadro 3) da Aula 2 = 142, Aula 8 = 138 y 974 plazas en Nava Morales; 15 (Cuadro 1) da Aula 2 = 136, Aula 8 = 120 (aulas 1 a 8 suman 904). Pabellones: 11 da «1.100» plazas; 15 da «1.776» asientos (606, 606, 300, 264).</t>
        </is>
      </c>
      <c r="E41" s="5" t="inlineStr">
        <is>
          <t>Conciliar capacidades con una sola fuente y explicar la diferencia entre plazas y asientos.</t>
        </is>
      </c>
      <c r="F41" s="8" t="inlineStr">
        <is>
          <t>Pendiente</t>
        </is>
      </c>
    </row>
    <row r="42">
      <c r="A42" s="5" t="inlineStr">
        <is>
          <t>11.2.1</t>
        </is>
      </c>
      <c r="B42" s="6" t="inlineStr">
        <is>
          <t>Media</t>
        </is>
      </c>
      <c r="C42" s="6" t="inlineStr">
        <is>
          <t>Cifras</t>
        </is>
      </c>
      <c r="D42" s="5" t="inlineStr">
        <is>
          <t>Nota del Cuadro 7: «Los 85 titulares comprenden 52 de categoría C, 32 eméritos y 1 de categoría B», cuando la Carrera tiene «82 docentes». Según el punto 2 (Cuadro 9), 85 es número de asignaturas o designaciones, no de personas.</t>
        </is>
      </c>
      <c r="E42" s="5" t="inlineStr">
        <is>
          <t>Redactar «85 designaciones de docentes titulares» y aclarar que las cifras del Cuadro 7 son designaciones.</t>
        </is>
      </c>
      <c r="F42" s="8" t="inlineStr">
        <is>
          <t>Pendiente</t>
        </is>
      </c>
    </row>
    <row r="43">
      <c r="A43" s="5" t="inlineStr">
        <is>
          <t>13.1.2</t>
        </is>
      </c>
      <c r="B43" s="6" t="inlineStr">
        <is>
          <t>Media</t>
        </is>
      </c>
      <c r="C43" s="6" t="inlineStr">
        <is>
          <t>Referencias</t>
        </is>
      </c>
      <c r="D43" s="5" t="inlineStr">
        <is>
          <t>Remite a «Punto 7.1.3» (Reglamento de Interacción Social), pero el punto 7.1 solo tiene 7.1.1 y 7.1.2.</t>
        </is>
      </c>
      <c r="E43" s="5" t="inlineStr">
        <is>
          <t>Cambiar por 7.1 o crear 7.1.3 con las horas mínimas.</t>
        </is>
      </c>
      <c r="F43" s="8" t="inlineStr">
        <is>
          <t>Pendiente</t>
        </is>
      </c>
    </row>
    <row r="44">
      <c r="A44" s="5" t="inlineStr">
        <is>
          <t>13.2.2</t>
        </is>
      </c>
      <c r="B44" s="6" t="inlineStr">
        <is>
          <t>Media</t>
        </is>
      </c>
      <c r="C44" s="6" t="inlineStr">
        <is>
          <t>Referencias</t>
        </is>
      </c>
      <c r="D44" s="5" t="inlineStr">
        <is>
          <t>«conforme a las metas del punto 6.1.4»: 6.1.4 solo describe las 320 horas del Instituto y el diagnóstico de tesis; no fija metas.</t>
        </is>
      </c>
      <c r="E44" s="5" t="inlineStr">
        <is>
          <t>Definir metas de producción en 6.1.4 o eliminar la remisión.</t>
        </is>
      </c>
      <c r="F44" s="8" t="inlineStr">
        <is>
          <t>Pendiente</t>
        </is>
      </c>
    </row>
    <row r="45">
      <c r="A45" s="5" t="inlineStr">
        <is>
          <t>14.6 / 11.2.1</t>
        </is>
      </c>
      <c r="B45" s="6" t="inlineStr">
        <is>
          <t>Media</t>
        </is>
      </c>
      <c r="C45" s="6" t="inlineStr">
        <is>
          <t>Cifras</t>
        </is>
      </c>
      <c r="D45" s="5" t="inlineStr">
        <is>
          <t>14.6: «prestan servicios 26 servidores públicos»; 11.2.1 y punto 2: «El personal administrativo suma 23 servidores, 10 de planta y 13 contratados» (más 7 de PETAENG y Postgrado).</t>
        </is>
      </c>
      <c r="E45" s="5" t="inlineStr">
        <is>
          <t>Usar la misma cifra o explicar qué personal incluye cada una.</t>
        </is>
      </c>
      <c r="F45" s="8" t="inlineStr">
        <is>
          <t>Pendiente</t>
        </is>
      </c>
    </row>
    <row r="46">
      <c r="A46" s="5" t="inlineStr">
        <is>
          <t>16.2 / 4.5</t>
        </is>
      </c>
      <c r="B46" s="6" t="inlineStr">
        <is>
          <t>Media</t>
        </is>
      </c>
      <c r="C46" s="6" t="inlineStr">
        <is>
          <t>Otro</t>
        </is>
      </c>
      <c r="D46" s="5" t="inlineStr">
        <is>
          <t>El cronograma prevé «elaboración de los planes de asignatura de primer año» (2026) y de segundo a quinto año en 2027 a 2030, pero los 43 planes ya forman parte del punto 4.5 (hechos.md).</t>
        </is>
      </c>
      <c r="E46" s="5" t="inlineStr">
        <is>
          <t>Cambiar por «complementación o actualización de los planes de asignatura» de cada año.</t>
        </is>
      </c>
      <c r="F46" s="8" t="inlineStr">
        <is>
          <t>Pendiente</t>
        </is>
      </c>
    </row>
    <row r="47">
      <c r="A47" s="5" t="inlineStr">
        <is>
          <t>1.3</t>
        </is>
      </c>
      <c r="B47" s="6" t="inlineStr">
        <is>
          <t>Baja</t>
        </is>
      </c>
      <c r="C47" s="6" t="inlineStr">
        <is>
          <t>Otro</t>
        </is>
      </c>
      <c r="D47" s="5" t="inlineStr">
        <is>
          <t>1.3 dice que la Carrera «inició sus actividades académicas en la gestión 1971» y, a continuación, que «Durante la gestión académica de 1970 entró en funcionamiento la mención de Auditoría Financiera»; además, se habla de «Facultad de Economía» y «ex Facultad de Economía» mientras 2.5.1 sitúa el Congreso de 1970 en la «Facultad de Ciencias Económicas y Financieras».</t>
        </is>
      </c>
      <c r="E47" s="5" t="inlineStr">
        <is>
          <t>Aclarar la relación entre la mención (1970, Facultad de Economía) y la Carrera (1971), y usar el nombre de la Facultad de la época de forma consistente.</t>
        </is>
      </c>
      <c r="F47" s="8" t="inlineStr">
        <is>
          <t>Pendiente</t>
        </is>
      </c>
    </row>
    <row r="48">
      <c r="A48" s="5" t="inlineStr">
        <is>
          <t>1.4 / 3 (introducción)</t>
        </is>
      </c>
      <c r="B48" s="6" t="inlineStr">
        <is>
          <t>Baja</t>
        </is>
      </c>
      <c r="C48" s="6" t="inlineStr">
        <is>
          <t>Cifras</t>
        </is>
      </c>
      <c r="D48" s="5" t="inlineStr">
        <is>
          <t>Antigüedad del Plan 2013 expresada de forma distinta: 1.4 «acumula más de doce años de aplicación» y 3 «Su vigencia de trece años supera el plazo».</t>
        </is>
      </c>
      <c r="E48" s="5" t="inlineStr">
        <is>
          <t>Unificar (rige desde febrero de 2013: «más de trece años» a la fecha de presentación).</t>
        </is>
      </c>
      <c r="F48" s="8" t="inlineStr">
        <is>
          <t>Pendiente</t>
        </is>
      </c>
    </row>
    <row r="49">
      <c r="A49" s="5" t="inlineStr">
        <is>
          <t>1.7 / 2.1</t>
        </is>
      </c>
      <c r="B49" s="6" t="inlineStr">
        <is>
          <t>Baja</t>
        </is>
      </c>
      <c r="C49" s="6" t="inlineStr">
        <is>
          <t>Otro</t>
        </is>
      </c>
      <c r="D49" s="5" t="inlineStr">
        <is>
          <t>1.7 y 2.1 mencionan solo Chulumani y Caranavi como sedes desconcentradas; el punto 15 registra «Expedientes de los programas desconcentrados de San Buenaventura, Chulumani y Caranavi».</t>
        </is>
      </c>
      <c r="E49" s="5" t="inlineStr">
        <is>
          <t>Verificar si el programa de San Buenaventura está cerrado; si es así, mencionarlo como antecedente en 1.7 o 2.5.1.</t>
        </is>
      </c>
      <c r="F49" s="8" t="inlineStr">
        <is>
          <t>Pendiente</t>
        </is>
      </c>
    </row>
    <row r="50">
      <c r="A50" s="5" t="inlineStr">
        <is>
          <t>1.11</t>
        </is>
      </c>
      <c r="B50" s="6" t="inlineStr">
        <is>
          <t>Baja</t>
        </is>
      </c>
      <c r="C50" s="6" t="inlineStr">
        <is>
          <t>Nombres</t>
        </is>
      </c>
      <c r="D50" s="5" t="inlineStr">
        <is>
          <t>1.11 consigna como título intermedio «Técnico Universitario Medio, Auxiliar en Contabilidad General», texto idéntico al diploma de 1.9, mientras la tabla de 1.6 y el Cuadro 5 del punto 5 dan como título en provisión nacional solo «Auxiliar en Contabilidad General».</t>
        </is>
      </c>
      <c r="E50" s="5" t="inlineStr">
        <is>
          <t>Redactar: «Título en provisión nacional de Auxiliar en Contabilidad General, conforme a la Resolución HCU N.º 426/2024».</t>
        </is>
      </c>
      <c r="F50" s="8" t="inlineStr">
        <is>
          <t>Pendiente</t>
        </is>
      </c>
    </row>
    <row r="51">
      <c r="A51" s="5" t="inlineStr">
        <is>
          <t>2.1 / 2.5.2 / 2.6.1</t>
        </is>
      </c>
      <c r="B51" s="6" t="inlineStr">
        <is>
          <t>Baja</t>
        </is>
      </c>
      <c r="C51" s="6" t="inlineStr">
        <is>
          <t>Otro</t>
        </is>
      </c>
      <c r="D51" s="5" t="inlineStr">
        <is>
          <t>2.1 y 2.5.2 listan como unidades dependientes solo el Instituto y la Unidad de Postgrado, pero el Cuadro 5 de 2.6.1 («Personal de las unidades dependientes de la Carrera») incluye también el PETAENG.</t>
        </is>
      </c>
      <c r="E51" s="5" t="inlineStr">
        <is>
          <t>Incluir el PETAENG entre las unidades dependientes en 2.1 y 2.5.2, o cambiar el título del Cuadro 5.</t>
        </is>
      </c>
      <c r="F51" s="8" t="inlineStr">
        <is>
          <t>Pendiente</t>
        </is>
      </c>
    </row>
    <row r="52">
      <c r="A52" s="5" t="inlineStr">
        <is>
          <t>2.3</t>
        </is>
      </c>
      <c r="B52" s="6" t="inlineStr">
        <is>
          <t>Baja</t>
        </is>
      </c>
      <c r="C52" s="6" t="inlineStr">
        <is>
          <t>Ortografía</t>
        </is>
      </c>
      <c r="D52" s="5" t="inlineStr">
        <is>
          <t>«Carrera de Contaduría publica» y «plan estratégico Institucional... Resolución HCF N.°1013/2026».</t>
        </is>
      </c>
      <c r="E52" s="5" t="inlineStr">
        <is>
          <t>Corregir: «Contaduría Pública», «Plan Estratégico Institucional» y «HCF N.º 1013/2026».</t>
        </is>
      </c>
      <c r="F52" s="8" t="inlineStr">
        <is>
          <t>Pendiente</t>
        </is>
      </c>
    </row>
    <row r="53">
      <c r="A53" s="5" t="inlineStr">
        <is>
          <t>2.6</t>
        </is>
      </c>
      <c r="B53" s="6" t="inlineStr">
        <is>
          <t>Baja</t>
        </is>
      </c>
      <c r="C53" s="6" t="inlineStr">
        <is>
          <t>Ortografía</t>
        </is>
      </c>
      <c r="D53" s="5" t="inlineStr">
        <is>
          <t>«dos kardixtas académicos» (el Cuadro 3 usa «Kardexista I»).</t>
        </is>
      </c>
      <c r="E53" s="5" t="inlineStr">
        <is>
          <t>Corregir: «kardexistas».</t>
        </is>
      </c>
      <c r="F53" s="8" t="inlineStr">
        <is>
          <t>Pendiente</t>
        </is>
      </c>
    </row>
    <row r="54">
      <c r="A54" s="5" t="inlineStr">
        <is>
          <t>2.6.1 / 2.7</t>
        </is>
      </c>
      <c r="B54" s="6" t="inlineStr">
        <is>
          <t>Baja</t>
        </is>
      </c>
      <c r="C54" s="6" t="inlineStr">
        <is>
          <t>Otro</t>
        </is>
      </c>
      <c r="D54" s="5" t="inlineStr">
        <is>
          <t>La numeración de cuadros del punto 2 empieza en «Cuadro 3»; la tabla de datos generales (2.1) y la de programas de postgrado (2.5.2) no tienen número.</t>
        </is>
      </c>
      <c r="E54" s="5" t="inlineStr">
        <is>
          <t>Numerar la tabla de 2.1 como Cuadro 1 y la de 2.5.2 como Cuadro 2, o renumerar desde 1.</t>
        </is>
      </c>
      <c r="F54" s="8" t="inlineStr">
        <is>
          <t>Pendiente</t>
        </is>
      </c>
    </row>
    <row r="55">
      <c r="A55" s="5" t="inlineStr">
        <is>
          <t>2.6.1 / 3.1.2 (Cuadro 4)</t>
        </is>
      </c>
      <c r="B55" s="6" t="inlineStr">
        <is>
          <t>Baja</t>
        </is>
      </c>
      <c r="C55" s="6" t="inlineStr">
        <is>
          <t>Cifras</t>
        </is>
      </c>
      <c r="D55" s="5" t="inlineStr">
        <is>
          <t>Se usan 3.143 inscritos de 2025 (solo sede La Paz) en 2.6.1 («4.283 estudiantes matriculados y 3.143 inscritos») y en el Cuadro 4, mientras 2.1 da 3.247 inscritos con las sedes desconcentradas.</t>
        </is>
      </c>
      <c r="E55" s="5" t="inlineStr">
        <is>
          <t>Aclarar «3.143 inscritos en la sede de La Paz» cada vez que se use esa cifra, o usar 3.247 cuando se hable de la Carrera en su conjunto.</t>
        </is>
      </c>
      <c r="F55" s="8" t="inlineStr">
        <is>
          <t>Pendiente</t>
        </is>
      </c>
    </row>
    <row r="56">
      <c r="A56" s="5" t="inlineStr">
        <is>
          <t>2.7.1</t>
        </is>
      </c>
      <c r="B56" s="6" t="inlineStr">
        <is>
          <t>Baja</t>
        </is>
      </c>
      <c r="C56" s="6" t="inlineStr">
        <is>
          <t>Normativa</t>
        </is>
      </c>
      <c r="D56" s="5" t="inlineStr">
        <is>
          <t>Se afirma que «la normativa universitaria vigente establece que un porcentaje significativo de los docentes debe ser titular» sin citar la norma ni el porcentaje.</t>
        </is>
      </c>
      <c r="E56" s="5" t="inlineStr">
        <is>
          <t>Citar la norma (por ejemplo el Reglamento del Docente Universitario) y el porcentaje exigido, o suprimir la afirmación.</t>
        </is>
      </c>
      <c r="F56" s="8" t="inlineStr">
        <is>
          <t>Pendiente</t>
        </is>
      </c>
    </row>
    <row r="57">
      <c r="A57" s="5" t="inlineStr">
        <is>
          <t>2.7.1 (Cuadro 7)</t>
        </is>
      </c>
      <c r="B57" s="6" t="inlineStr">
        <is>
          <t>Baja</t>
        </is>
      </c>
      <c r="C57" s="6" t="inlineStr">
        <is>
          <t>Otro</t>
        </is>
      </c>
      <c r="D57" s="5" t="inlineStr">
        <is>
          <t>Las columnas de carga horaria están desordenadas: «32 h | 64 h | 48 h | 96 h | 112 h | 128 h | 160 h».</t>
        </is>
      </c>
      <c r="E57" s="5" t="inlineStr">
        <is>
          <t>Ordenar de menor a mayor (32, 48, 64, 96, 112, 128, 160).</t>
        </is>
      </c>
      <c r="F57" s="8" t="inlineStr">
        <is>
          <t>Pendiente</t>
        </is>
      </c>
    </row>
    <row r="58">
      <c r="A58" s="5" t="inlineStr">
        <is>
          <t>3.1.3 (Cuadro 10)</t>
        </is>
      </c>
      <c r="B58" s="6" t="inlineStr">
        <is>
          <t>Baja</t>
        </is>
      </c>
      <c r="C58" s="6" t="inlineStr">
        <is>
          <t>Nombres</t>
        </is>
      </c>
      <c r="D58" s="5" t="inlineStr">
        <is>
          <t>«Cálculo, Álgebra y Programación Lineales» no coincide con el nombre de la asignatura del Plan 2013 en el Cuadro 2: «MAT-201 Álgebra y Programación Lineal».</t>
        </is>
      </c>
      <c r="E58" s="5" t="inlineStr">
        <is>
          <t>Usar el nombre exacto: «Álgebra y Programación Lineal».</t>
        </is>
      </c>
      <c r="F58" s="8" t="inlineStr">
        <is>
          <t>Pendiente</t>
        </is>
      </c>
    </row>
    <row r="59">
      <c r="A59" s="5" t="inlineStr">
        <is>
          <t>3.2.1</t>
        </is>
      </c>
      <c r="B59" s="6" t="inlineStr">
        <is>
          <t>Baja</t>
        </is>
      </c>
      <c r="C59" s="6" t="inlineStr">
        <is>
          <t>Otro</t>
        </is>
      </c>
      <c r="D59" s="5" t="inlineStr">
        <is>
          <t>La información del PEI facultativo (cuatro áreas estratégicas, OE 1.3, metas de acreditación MERCOSUR/ARCUSUR) se repite casi literalmente en la fila del Cuadro 11 y en el párrafo siguiente al Cuadro 12.</t>
        </is>
      </c>
      <c r="E59" s="5" t="inlineStr">
        <is>
          <t>Dejar en el Cuadro 11 solo la referencia breve y desarrollar el contenido en el párrafo, o al revés.</t>
        </is>
      </c>
      <c r="F59" s="8" t="inlineStr">
        <is>
          <t>Pendiente</t>
        </is>
      </c>
    </row>
    <row r="60">
      <c r="A60" s="5" t="inlineStr">
        <is>
          <t>3.2.1 (Cuadro 11)</t>
        </is>
      </c>
      <c r="B60" s="6" t="inlineStr">
        <is>
          <t>Baja</t>
        </is>
      </c>
      <c r="C60" s="6" t="inlineStr">
        <is>
          <t>Ortografía</t>
        </is>
      </c>
      <c r="D60" s="5" t="inlineStr">
        <is>
          <t>«instrumento curgricular».</t>
        </is>
      </c>
      <c r="E60" s="5" t="inlineStr">
        <is>
          <t>Corregir: «curricular».</t>
        </is>
      </c>
      <c r="F60" s="8" t="inlineStr">
        <is>
          <t>Pendiente</t>
        </is>
      </c>
    </row>
    <row r="61">
      <c r="A61" s="5" t="inlineStr">
        <is>
          <t>3.2.2 (Cuadro 14)</t>
        </is>
      </c>
      <c r="B61" s="6" t="inlineStr">
        <is>
          <t>Baja</t>
        </is>
      </c>
      <c r="C61" s="6" t="inlineStr">
        <is>
          <t>Ortografía</t>
        </is>
      </c>
      <c r="D61" s="5" t="inlineStr">
        <is>
          <t>«Normativa enunciativa y no limitativa.Fuente: CAUB (2021)» (falta espacio) y, en 3.2.3, «Como se evidencia existe normativa de reciente vigencia la cual debe ser incorporada» (faltan comas).</t>
        </is>
      </c>
      <c r="E61" s="5" t="inlineStr">
        <is>
          <t>Corregir: «limitativa. Fuente:» y «Como se evidencia, existe normativa de reciente vigencia, la cual debe incorporarse».</t>
        </is>
      </c>
      <c r="F61" s="8" t="inlineStr">
        <is>
          <t>Pendiente</t>
        </is>
      </c>
    </row>
    <row r="62">
      <c r="A62" s="5" t="inlineStr">
        <is>
          <t>3.2.4</t>
        </is>
      </c>
      <c r="B62" s="6" t="inlineStr">
        <is>
          <t>Baja</t>
        </is>
      </c>
      <c r="C62" s="6" t="inlineStr">
        <is>
          <t>Ortografía</t>
        </is>
      </c>
      <c r="D62" s="5" t="inlineStr">
        <is>
          <t>«de tal manera que el estudiante este actualizado permanentemente».</t>
        </is>
      </c>
      <c r="E62" s="5" t="inlineStr">
        <is>
          <t>Corregir: «esté».</t>
        </is>
      </c>
      <c r="F62" s="8" t="inlineStr">
        <is>
          <t>Pendiente</t>
        </is>
      </c>
    </row>
    <row r="63">
      <c r="A63" s="5" t="inlineStr">
        <is>
          <t>3 (introducción) / 3.2.1</t>
        </is>
      </c>
      <c r="B63" s="6" t="inlineStr">
        <is>
          <t>Baja</t>
        </is>
      </c>
      <c r="C63" s="6" t="inlineStr">
        <is>
          <t>Normativa</t>
        </is>
      </c>
      <c r="D63" s="5" t="inlineStr">
        <is>
          <t>El plazo «de diez años del Sistema de la Universidad Boliviana» se atribuye a una «Norma de Innovación Curricular del Sistema de la Universidad Boliviana» sin número de resolución ni fecha.</t>
        </is>
      </c>
      <c r="E63" s="5" t="inlineStr">
        <is>
          <t>Citar la resolución de la Conferencia o Congreso que aprueba esa norma.</t>
        </is>
      </c>
      <c r="F63" s="8" t="inlineStr">
        <is>
          <t>Pendiente</t>
        </is>
      </c>
    </row>
    <row r="64">
      <c r="A64" s="5" t="inlineStr">
        <is>
          <t>3.4.2</t>
        </is>
      </c>
      <c r="B64" s="6" t="inlineStr">
        <is>
          <t>Baja</t>
        </is>
      </c>
      <c r="C64" s="6" t="inlineStr">
        <is>
          <t>Nombres</t>
        </is>
      </c>
      <c r="D64" s="5" t="inlineStr">
        <is>
          <t>Se cita «como lo define el Perfil Profesional 2026», denominación que no existe en el punto 4.2 (el subpunto se titula «4.2.7 Perfil profesional»).</t>
        </is>
      </c>
      <c r="E64" s="5" t="inlineStr">
        <is>
          <t>Redactar «como lo define el perfil profesional (punto 4.2.7)».</t>
        </is>
      </c>
      <c r="F64" s="8" t="inlineStr">
        <is>
          <t>Pendiente</t>
        </is>
      </c>
    </row>
    <row r="65">
      <c r="A65" s="5" t="inlineStr">
        <is>
          <t>3.4.4 (Cuadro 26)</t>
        </is>
      </c>
      <c r="B65" s="6" t="inlineStr">
        <is>
          <t>Baja</t>
        </is>
      </c>
      <c r="C65" s="6" t="inlineStr">
        <is>
          <t>Ortografía</t>
        </is>
      </c>
      <c r="D65" s="5" t="inlineStr">
        <is>
          <t>«Aplicaciones para auditoria y finanzas».</t>
        </is>
      </c>
      <c r="E65" s="5" t="inlineStr">
        <is>
          <t>Corregir: «auditoría».</t>
        </is>
      </c>
      <c r="F65" s="8" t="inlineStr">
        <is>
          <t>Pendiente</t>
        </is>
      </c>
    </row>
    <row r="66">
      <c r="A66" s="5" t="inlineStr">
        <is>
          <t>3.5.3</t>
        </is>
      </c>
      <c r="B66" s="6" t="inlineStr">
        <is>
          <t>Baja</t>
        </is>
      </c>
      <c r="C66" s="6" t="inlineStr">
        <is>
          <t>Nombres</t>
        </is>
      </c>
      <c r="D66" s="5" t="inlineStr">
        <is>
          <t>Se presenta como activo que el rediseño conserva «ocho gabinetes especializados, financiero, tributario, gubernamental, de sistemas, ambiental, de proyectos, forense y de entidades financieras», pero en la malla definitiva solo CPA-502 conserva el nombre de Gabinete; las demás pasan a «Auditoría Tributaria», «Auditoría Gubernamental», «Auditoría Digital, Ciberseguridad y Tecnologías Emergentes», etc.</t>
        </is>
      </c>
      <c r="E66" s="5" t="inlineStr">
        <is>
          <t>Describir el activo como «bloque de asignaturas de aseguramiento especializado» y citar los nombres de la malla definitiva (CPA-501 a CPA-509).</t>
        </is>
      </c>
      <c r="F66" s="8" t="inlineStr">
        <is>
          <t>Pendiente</t>
        </is>
      </c>
    </row>
    <row r="67">
      <c r="A67" s="5" t="inlineStr">
        <is>
          <t>4.1</t>
        </is>
      </c>
      <c r="B67" s="6" t="inlineStr">
        <is>
          <t>Baja</t>
        </is>
      </c>
      <c r="C67" s="6" t="inlineStr">
        <is>
          <t>Ortografía</t>
        </is>
      </c>
      <c r="D67" s="5" t="inlineStr">
        <is>
          <t>Errores claros: «Adminisión Especial» (línea 61); «esta acompañada» (línea 31, falta tilde: «está»); «Formación especialidades en servicios de aseguramiento» (tabla IES 8, falta «en»); «la Carrera Contaduría Pública» (línea 28, falta «de»); «Los datos o la información ... aislada carece» (concordancia); «46%» sin espacio frente a «80 %».</t>
        </is>
      </c>
      <c r="E67" s="5" t="inlineStr">
        <is>
          <t>Corregir a «Admisión», «está», «Formación en especialidades», «Carrera de Contaduría Pública», «carecen» y «46 %».</t>
        </is>
      </c>
      <c r="F67" s="8" t="inlineStr">
        <is>
          <t>Pendiente</t>
        </is>
      </c>
    </row>
    <row r="68">
      <c r="A68" s="5" t="inlineStr">
        <is>
          <t>4.1.1 vs 4.2</t>
        </is>
      </c>
      <c r="B68" s="6" t="inlineStr">
        <is>
          <t>Baja</t>
        </is>
      </c>
      <c r="C68" s="6" t="inlineStr">
        <is>
          <t>Nombres</t>
        </is>
      </c>
      <c r="D68" s="5" t="inlineStr">
        <is>
          <t>4.1.1 dice «Sistema de Contabilidad Gubernamental Integrada» y 4.2 «Sistema de Contabilidad Gubernamental Integrado».</t>
        </is>
      </c>
      <c r="E68" s="5" t="inlineStr">
        <is>
          <t>Unificar como «Sistema de Contabilidad Gubernamental Integrado».</t>
        </is>
      </c>
      <c r="F68" s="8" t="inlineStr">
        <is>
          <t>Pendiente</t>
        </is>
      </c>
    </row>
    <row r="69">
      <c r="A69" s="5" t="inlineStr">
        <is>
          <t>4.1.4</t>
        </is>
      </c>
      <c r="B69" s="6" t="inlineStr">
        <is>
          <t>Baja</t>
        </is>
      </c>
      <c r="C69" s="6" t="inlineStr">
        <is>
          <t>Nombres</t>
        </is>
      </c>
      <c r="D69" s="5" t="inlineStr">
        <is>
          <t>La IES 8 tiene dos denominaciones: en la tabla, «Requisitos de competencia para Contadores Profesionales»; en el texto, «IES 8 (Competencias de Auditores Profesionales)».</t>
        </is>
      </c>
      <c r="E69" s="5" t="inlineStr">
        <is>
          <t>Usar una denominación (la IES 8 se refiere a los socios de encargo responsables de auditorías de estados financieros).</t>
        </is>
      </c>
      <c r="F69" s="8" t="inlineStr">
        <is>
          <t>Pendiente</t>
        </is>
      </c>
    </row>
    <row r="70">
      <c r="A70" s="5" t="inlineStr">
        <is>
          <t>4.1.4</t>
        </is>
      </c>
      <c r="B70" s="6" t="inlineStr">
        <is>
          <t>Baja</t>
        </is>
      </c>
      <c r="C70" s="6" t="inlineStr">
        <is>
          <t>Normativa</t>
        </is>
      </c>
      <c r="D70" s="5" t="inlineStr">
        <is>
          <t>Se cita la «Resolución Nº 07/2024 de la VI Conferencia Nacional de Universidades»; 1.13, 4.2.2 y 4.3.1 dicen «VI Conferencia Nacional Ordinaria de Universidades».</t>
        </is>
      </c>
      <c r="E70" s="5" t="inlineStr">
        <is>
          <t>Unificar como «VI Conferencia Nacional Ordinaria de Universidades».</t>
        </is>
      </c>
      <c r="F70" s="8" t="inlineStr">
        <is>
          <t>Pendiente</t>
        </is>
      </c>
    </row>
    <row r="71">
      <c r="A71" s="5" t="inlineStr">
        <is>
          <t>4.1.4 vs 4.4.3 y 5</t>
        </is>
      </c>
      <c r="B71" s="6" t="inlineStr">
        <is>
          <t>Baja</t>
        </is>
      </c>
      <c r="C71" s="6" t="inlineStr">
        <is>
          <t>Nombres</t>
        </is>
      </c>
      <c r="D71" s="5" t="inlineStr">
        <is>
          <t>4.1.4 menciona «Cursos Pre-Facultativos / Exámenes de Suficiencia Académica» y «el Examen de Suficiencia Académica»; 4.4.3 y el punto 5 usan «CPF: Curso Preuniversitario o Prefacultativo» y «PSA: Prueba de Suficiencia Académica».</t>
        </is>
      </c>
      <c r="E71" s="5" t="inlineStr">
        <is>
          <t>Usar los nombres del punto 5 (CPF y PSA).</t>
        </is>
      </c>
      <c r="F71" s="8" t="inlineStr">
        <is>
          <t>Pendiente</t>
        </is>
      </c>
    </row>
    <row r="72">
      <c r="A72" s="5" t="inlineStr">
        <is>
          <t>4.2.4</t>
        </is>
      </c>
      <c r="B72" s="6" t="inlineStr">
        <is>
          <t>Baja</t>
        </is>
      </c>
      <c r="C72" s="6" t="inlineStr">
        <is>
          <t>Ortografía</t>
        </is>
      </c>
      <c r="D72" s="5" t="inlineStr">
        <is>
          <t>La frase final está incompleta: «cuya fiabilidad, transparencia, veracidad y alineación ética garantiza para el desarrollo socioeconómico del país».</t>
        </is>
      </c>
      <c r="E72" s="5" t="inlineStr">
        <is>
          <t>Redactar, por ejemplo: «... cuya fiabilidad, transparencia, veracidad y alineación ética garantiza en favor del desarrollo socioeconómico del país».</t>
        </is>
      </c>
      <c r="F72" s="8" t="inlineStr">
        <is>
          <t>Pendiente</t>
        </is>
      </c>
    </row>
    <row r="73">
      <c r="A73" s="5" t="inlineStr">
        <is>
          <t>4.2.6</t>
        </is>
      </c>
      <c r="B73" s="6" t="inlineStr">
        <is>
          <t>Baja</t>
        </is>
      </c>
      <c r="C73" s="6" t="inlineStr">
        <is>
          <t>Pendiente</t>
        </is>
      </c>
      <c r="D73" s="5" t="inlineStr">
        <is>
          <t>En el Cuadro 3, la fila «Saber hacer» termina en una viñeta vacía («▪Auditoría forense e informes periciales /  |») y omite «Práctica tributaria y cierre de estados financieros», que sí figura en 4.2.6.</t>
        </is>
      </c>
      <c r="E73" s="5" t="inlineStr">
        <is>
          <t>Completar la viñeta con la práctica tributaria y quitar el separador sobrante.</t>
        </is>
      </c>
      <c r="F73" s="8" t="inlineStr">
        <is>
          <t>Pendiente</t>
        </is>
      </c>
    </row>
    <row r="74">
      <c r="A74" s="5" t="inlineStr">
        <is>
          <t>4.2.7</t>
        </is>
      </c>
      <c r="B74" s="6" t="inlineStr">
        <is>
          <t>Baja</t>
        </is>
      </c>
      <c r="C74" s="6" t="inlineStr">
        <is>
          <t>Otro</t>
        </is>
      </c>
      <c r="D74" s="5" t="inlineStr">
        <is>
          <t>Entre los «Atributos técnicos, digitales y de innovación, saber hacer» figura «Posibilidad de obtener los grados intermedios durante el pregrado...», que no es un atributo de saber hacer.</t>
        </is>
      </c>
      <c r="E74" s="5" t="inlineStr">
        <is>
          <t>Trasladar esa línea a la descripción de la estructura (4.3.2 b o 4.4.3).</t>
        </is>
      </c>
      <c r="F74" s="8" t="inlineStr">
        <is>
          <t>Pendiente</t>
        </is>
      </c>
    </row>
    <row r="75">
      <c r="A75" s="5" t="inlineStr">
        <is>
          <t>4.3 y 4.4</t>
        </is>
      </c>
      <c r="B75" s="6" t="inlineStr">
        <is>
          <t>Baja</t>
        </is>
      </c>
      <c r="C75" s="6" t="inlineStr">
        <is>
          <t>Ortografía</t>
        </is>
      </c>
      <c r="D75" s="5" t="inlineStr">
        <is>
          <t>Faltan tildes: «Normas del Sector Publico» (4.3.4, objetivo 4) y «Área Contable y de Auditoria» (4.4.1, Cuadro 1 y subtítulo); falta espacio en «83%» (4.3.2 e).</t>
        </is>
      </c>
      <c r="E75" s="5" t="inlineStr">
        <is>
          <t>Corregir a «Público», «Auditoría» y «83 %».</t>
        </is>
      </c>
      <c r="F75" s="8" t="inlineStr">
        <is>
          <t>Pendiente</t>
        </is>
      </c>
    </row>
    <row r="76">
      <c r="A76" s="5" t="inlineStr">
        <is>
          <t>4.3 y 4.8</t>
        </is>
      </c>
      <c r="B76" s="6" t="inlineStr">
        <is>
          <t>Baja</t>
        </is>
      </c>
      <c r="C76" s="6" t="inlineStr">
        <is>
          <t>Nombres</t>
        </is>
      </c>
      <c r="D76" s="5" t="inlineStr">
        <is>
          <t>4.3.2 menciona «gabinetes y talleres integradores» y el Cuadro 2 de 4.3.5 «gabinetes integradores» en 5.° año; 4.8.2 prevé «Gabinetes y simulación profesional | 4.° y 5.°». En la malla solo CPA-502 se denomina Gabinete y está en 5.° año; en 4.° año no hay gabinetes.</t>
        </is>
      </c>
      <c r="E76" s="5" t="inlineStr">
        <is>
          <t>Hablar de «gabinete y asignaturas de aseguramiento» o ajustar los años en 4.8.2.</t>
        </is>
      </c>
      <c r="F76" s="8" t="inlineStr">
        <is>
          <t>Pendiente</t>
        </is>
      </c>
    </row>
    <row r="77">
      <c r="A77" s="5" t="inlineStr">
        <is>
          <t>4.3.5</t>
        </is>
      </c>
      <c r="B77" s="6" t="inlineStr">
        <is>
          <t>Baja</t>
        </is>
      </c>
      <c r="C77" s="6" t="inlineStr">
        <is>
          <t>Nombres</t>
        </is>
      </c>
      <c r="D77" s="5" t="inlineStr">
        <is>
          <t>El ciclo profesional (3.° y 4.°) enuncia como énfasis «costos, tributos, sistemas...», pero las asignaturas de tributos (CPA-203 y DER-201) están en 2.° año y la siguiente (CPA-503) en 5.°.</t>
        </is>
      </c>
      <c r="E77" s="5" t="inlineStr">
        <is>
          <t>Quitar «tributos» del ciclo profesional o moverlo al ciclo básico.</t>
        </is>
      </c>
      <c r="F77" s="8" t="inlineStr">
        <is>
          <t>Pendiente</t>
        </is>
      </c>
    </row>
    <row r="78">
      <c r="A78" s="5" t="inlineStr">
        <is>
          <t>4.4.1</t>
        </is>
      </c>
      <c r="B78" s="6" t="inlineStr">
        <is>
          <t>Baja</t>
        </is>
      </c>
      <c r="C78" s="6" t="inlineStr">
        <is>
          <t>Nombres</t>
        </is>
      </c>
      <c r="D78" s="5" t="inlineStr">
        <is>
          <t>Se dice «seis áreas de conocimiento agrupadas en dos bloques: el área contable y de auditoría ... y el área contextual», pero el Cuadro 1 llama «Área» a los bloques, por lo que se leen ocho áreas. Además hay errores de concordancia: «el área contable y de auditoría, que forman», «el área contextual, que aportan».</t>
        </is>
      </c>
      <c r="E78" s="5" t="inlineStr">
        <is>
          <t>Usar «bloques» o «áreas» de forma uniforme (p. ej., dos áreas con seis subáreas) y corregir «que forma» y «que aporta».</t>
        </is>
      </c>
      <c r="F78" s="8" t="inlineStr">
        <is>
          <t>Pendiente</t>
        </is>
      </c>
    </row>
    <row r="79">
      <c r="A79" s="5" t="inlineStr">
        <is>
          <t>4.6.1 y 4.2.3</t>
        </is>
      </c>
      <c r="B79" s="6" t="inlineStr">
        <is>
          <t>Baja</t>
        </is>
      </c>
      <c r="C79" s="6" t="inlineStr">
        <is>
          <t>Ortografía</t>
        </is>
      </c>
      <c r="D79" s="5" t="inlineStr">
        <is>
          <t>4.6.1: «Uso crítico de inteligencia artificial. en todas las estrategias...» (minúscula tras punto y sin punto final). 4.2.3: «Son las acciones que ... mismos que se presentan» (falta concordancia de género).</t>
        </is>
      </c>
      <c r="E79" s="5" t="inlineStr">
        <is>
          <t>Corregir a «Uso crítico de inteligencia artificial: en todas las estrategias ... razonamiento.» y «mismas que» o «que se presentan».</t>
        </is>
      </c>
      <c r="F79" s="8" t="inlineStr">
        <is>
          <t>Pendiente</t>
        </is>
      </c>
    </row>
    <row r="80">
      <c r="A80" s="5" t="inlineStr">
        <is>
          <t>4.6.1 y 4.6.4</t>
        </is>
      </c>
      <c r="B80" s="6" t="inlineStr">
        <is>
          <t>Baja</t>
        </is>
      </c>
      <c r="C80" s="6" t="inlineStr">
        <is>
          <t>Otro</t>
        </is>
      </c>
      <c r="D80" s="5" t="inlineStr">
        <is>
          <t>La pasantía se clasifica como «Colectiva» (Cuadro 1) y como actividad colectiva (4.6.4), pero 4.8.3 la plantea como individual: «el estudiante presenta un plan de actividades ... y, al concluir, un informe».</t>
        </is>
      </c>
      <c r="E80" s="5" t="inlineStr">
        <is>
          <t>Clasificarla como «Autónoma y colectiva» o «Individual supervisada».</t>
        </is>
      </c>
      <c r="F80" s="8" t="inlineStr">
        <is>
          <t>Pendiente</t>
        </is>
      </c>
    </row>
    <row r="81">
      <c r="A81" s="5" t="inlineStr">
        <is>
          <t>4.6.4</t>
        </is>
      </c>
      <c r="B81" s="6" t="inlineStr">
        <is>
          <t>Baja</t>
        </is>
      </c>
      <c r="C81" s="6" t="inlineStr">
        <is>
          <t>Referencias</t>
        </is>
      </c>
      <c r="D81" s="5" t="inlineStr">
        <is>
          <t>«según la carga horaria presencial y no presencial de cada asignatura, definida en el punto 4.4.4»: el punto 4.4.4 solo presenta cargas por año; la carga por asignatura está en 4.4.3 y en los planes de 4.5.</t>
        </is>
      </c>
      <c r="E81" s="5" t="inlineStr">
        <is>
          <t>Remitir a 4.4.3 y 4.5.</t>
        </is>
      </c>
      <c r="F81" s="8" t="inlineStr">
        <is>
          <t>Pendiente</t>
        </is>
      </c>
    </row>
    <row r="82">
      <c r="A82" s="5" t="inlineStr">
        <is>
          <t>5.3.1 / 5.4.2 Cuadro 6</t>
        </is>
      </c>
      <c r="B82" s="6" t="inlineStr">
        <is>
          <t>Baja</t>
        </is>
      </c>
      <c r="C82" s="6" t="inlineStr">
        <is>
          <t>Cifras</t>
        </is>
      </c>
      <c r="D82" s="5" t="inlineStr">
        <is>
          <t>Escala de 1 a 100 en 5.3.1 («escala de 1 a 100 puntos») y de 0 a 100 en el Cuadro 6 («Reprobado | 0 a 50»).</t>
        </is>
      </c>
      <c r="E82" s="5" t="inlineStr">
        <is>
          <t>Uniformar el límite inferior de la escala.</t>
        </is>
      </c>
      <c r="F82" s="8" t="inlineStr">
        <is>
          <t>Pendiente</t>
        </is>
      </c>
    </row>
    <row r="83">
      <c r="A83" s="5" t="inlineStr">
        <is>
          <t>5.4.2 / 13 Art. 34 / CA.txt</t>
        </is>
      </c>
      <c r="B83" s="6" t="inlineStr">
        <is>
          <t>Baja</t>
        </is>
      </c>
      <c r="C83" s="6" t="inlineStr">
        <is>
          <t>Cifras</t>
        </is>
      </c>
      <c r="D83" s="5" t="inlineStr">
        <is>
          <t>Frecuencia del examen de grado por ciclos: 5.4.2 y 13 Art. 34 dicen «como mínimo cuatro veces»; CA.txt y 04 Plan dicen «como mínimo tres (3) veces al año».</t>
        </is>
      </c>
      <c r="E83" s="5" t="inlineStr">
        <is>
          <t>Confirmar la frecuencia decidida (5 y 13 son coherentes entre sí) y descartar la del borrador.</t>
        </is>
      </c>
      <c r="F83" s="8" t="inlineStr">
        <is>
          <t>Pendiente</t>
        </is>
      </c>
    </row>
    <row r="84">
      <c r="A84" s="5" t="inlineStr">
        <is>
          <t>5.4.2 / 13 Cuadro 5</t>
        </is>
      </c>
      <c r="B84" s="6" t="inlineStr">
        <is>
          <t>Baja</t>
        </is>
      </c>
      <c r="C84" s="6" t="inlineStr">
        <is>
          <t>Otro</t>
        </is>
      </c>
      <c r="D84" s="5" t="inlineStr">
        <is>
          <t>El ciclo de servicios de aseguramiento del examen de grado omite CPA-502, CPA-505, CPA-506 y CPA-508, y ningún ciclo incluye CPA-305 ni CPA-404, aunque son asignaturas del Área Contable y de Auditoría.</t>
        </is>
      </c>
      <c r="E84" s="5" t="inlineStr">
        <is>
          <t>Justificar la selección o incorporar las asignaturas omitidas.</t>
        </is>
      </c>
      <c r="F84" s="8" t="inlineStr">
        <is>
          <t>Pendiente</t>
        </is>
      </c>
    </row>
    <row r="85">
      <c r="A85" s="5" t="inlineStr">
        <is>
          <t>5.4.2 / 13.1.2 / punto 2</t>
        </is>
      </c>
      <c r="B85" s="6" t="inlineStr">
        <is>
          <t>Baja</t>
        </is>
      </c>
      <c r="C85" s="6" t="inlineStr">
        <is>
          <t>Nombres</t>
        </is>
      </c>
      <c r="D85" s="5" t="inlineStr">
        <is>
          <t>El órgano de la graduación por excelencia se llama «Comisión Evaluadora» en 5.4.2 y «Tribunal de Graduación por Excelencia» en 13.1.2 y en el punto 2.</t>
        </is>
      </c>
      <c r="E85" s="5" t="inlineStr">
        <is>
          <t>Usar una sola denominación.</t>
        </is>
      </c>
      <c r="F85" s="8" t="inlineStr">
        <is>
          <t>Pendiente</t>
        </is>
      </c>
    </row>
    <row r="86">
      <c r="A86" s="5" t="inlineStr">
        <is>
          <t>6.1.4 / 11.2.1</t>
        </is>
      </c>
      <c r="B86" s="6" t="inlineStr">
        <is>
          <t>Baja</t>
        </is>
      </c>
      <c r="C86" s="6" t="inlineStr">
        <is>
          <t>Otro</t>
        </is>
      </c>
      <c r="D86" s="5" t="inlineStr">
        <is>
          <t>6.1.4 dice que el Instituto cuenta con «160 horas para el cargo de Director», sin advertir que la Dirección «se encuentra acéfala desde 2022» (11.2.1).</t>
        </is>
      </c>
      <c r="E86" s="5" t="inlineStr">
        <is>
          <t>Mencionar la acefalía en 6.1.4.</t>
        </is>
      </c>
      <c r="F86" s="8" t="inlineStr">
        <is>
          <t>Pendiente</t>
        </is>
      </c>
    </row>
    <row r="87">
      <c r="A87" s="5" t="inlineStr">
        <is>
          <t>6.2.3</t>
        </is>
      </c>
      <c r="B87" s="6" t="inlineStr">
        <is>
          <t>Baja</t>
        </is>
      </c>
      <c r="C87" s="6" t="inlineStr">
        <is>
          <t>Ortografía</t>
        </is>
      </c>
      <c r="D87" s="5" t="inlineStr">
        <is>
          <t>«se estructuran de ocho líneas institucionales».</t>
        </is>
      </c>
      <c r="E87" s="5" t="inlineStr">
        <is>
          <t>Corregir a «se estructuran en ocho líneas».</t>
        </is>
      </c>
      <c r="F87" s="8" t="inlineStr">
        <is>
          <t>Pendiente</t>
        </is>
      </c>
    </row>
    <row r="88">
      <c r="A88" s="5" t="inlineStr">
        <is>
          <t>7.2.1</t>
        </is>
      </c>
      <c r="B88" s="6" t="inlineStr">
        <is>
          <t>Baja</t>
        </is>
      </c>
      <c r="C88" s="6" t="inlineStr">
        <is>
          <t>Ortografía</t>
        </is>
      </c>
      <c r="D88" s="5" t="inlineStr">
        <is>
          <t>«interesados en las ares contables y financieras».</t>
        </is>
      </c>
      <c r="E88" s="5" t="inlineStr">
        <is>
          <t>Corregir a «áreas».</t>
        </is>
      </c>
      <c r="F88" s="8" t="inlineStr">
        <is>
          <t>Pendiente</t>
        </is>
      </c>
    </row>
    <row r="89">
      <c r="A89" s="5" t="inlineStr">
        <is>
          <t>8.2</t>
        </is>
      </c>
      <c r="B89" s="6" t="inlineStr">
        <is>
          <t>Baja</t>
        </is>
      </c>
      <c r="C89" s="6" t="inlineStr">
        <is>
          <t>Ortografía</t>
        </is>
      </c>
      <c r="D89" s="5" t="inlineStr">
        <is>
          <t>«se considera la hora académica es de 45 minutos».</t>
        </is>
      </c>
      <c r="E89" s="5" t="inlineStr">
        <is>
          <t>Corregir a «se considera que la hora académica es de 45 minutos».</t>
        </is>
      </c>
      <c r="F89" s="8" t="inlineStr">
        <is>
          <t>Pendiente</t>
        </is>
      </c>
    </row>
    <row r="90">
      <c r="A90" s="5" t="inlineStr">
        <is>
          <t>8.2 / 8.3</t>
        </is>
      </c>
      <c r="B90" s="6" t="inlineStr">
        <is>
          <t>Baja</t>
        </is>
      </c>
      <c r="C90" s="6" t="inlineStr">
        <is>
          <t>Otro</t>
        </is>
      </c>
      <c r="D90" s="5" t="inlineStr">
        <is>
          <t>Se suman unidades distintas: «6.000 horas académicas presenciales, equivalentes a 4.500 horas cronológicas, y 9.000 horas de trabajo del estudiante al sumar 3.000 horas no presenciales»; 8.4 dice que las HIP «se expresan en horas cronológicas».</t>
        </is>
      </c>
      <c r="E90" s="5" t="inlineStr">
        <is>
          <t>Aclarar en una nota que, para créditos, la hora académica presencial se computa como hora de trabajo (sin cambiar las cifras de hechos.md).</t>
        </is>
      </c>
      <c r="F90" s="8" t="inlineStr">
        <is>
          <t>Pendiente</t>
        </is>
      </c>
    </row>
    <row r="91">
      <c r="A91" s="5" t="inlineStr">
        <is>
          <t>8.6</t>
        </is>
      </c>
      <c r="B91" s="6" t="inlineStr">
        <is>
          <t>Baja</t>
        </is>
      </c>
      <c r="C91" s="6" t="inlineStr">
        <is>
          <t>Otro</t>
        </is>
      </c>
      <c r="D91" s="5" t="inlineStr">
        <is>
          <t>Hay dos cuadros con el número 5: «Cuadro 5. Créditos por año» y «Cuadro 5. Estudiantes inscritos por asignatura y paralelo».</t>
        </is>
      </c>
      <c r="E91" s="5" t="inlineStr">
        <is>
          <t>Renumerar el segundo como Cuadro 6.</t>
        </is>
      </c>
      <c r="F91" s="8" t="inlineStr">
        <is>
          <t>Pendiente</t>
        </is>
      </c>
    </row>
    <row r="92">
      <c r="A92" s="5" t="inlineStr">
        <is>
          <t>8.6</t>
        </is>
      </c>
      <c r="B92" s="6" t="inlineStr">
        <is>
          <t>Baja</t>
        </is>
      </c>
      <c r="C92" s="6" t="inlineStr">
        <is>
          <t>Ortografía</t>
        </is>
      </c>
      <c r="D92" s="5" t="inlineStr">
        <is>
          <t>«la carrera asi como de la población estudiantil».</t>
        </is>
      </c>
      <c r="E92" s="5" t="inlineStr">
        <is>
          <t>Corregir a «así como».</t>
        </is>
      </c>
      <c r="F92" s="8" t="inlineStr">
        <is>
          <t>Pendiente</t>
        </is>
      </c>
    </row>
    <row r="93">
      <c r="A93" s="5" t="inlineStr">
        <is>
          <t>9.1.2 / 9.1.4</t>
        </is>
      </c>
      <c r="B93" s="6" t="inlineStr">
        <is>
          <t>Baja</t>
        </is>
      </c>
      <c r="C93" s="6" t="inlineStr">
        <is>
          <t>Ortografía</t>
        </is>
      </c>
      <c r="D93" s="5" t="inlineStr">
        <is>
          <t>«Contaduría Publica», «lo cual facilitara el acceso» y «la bibliografía básica este accesible».</t>
        </is>
      </c>
      <c r="E93" s="5" t="inlineStr">
        <is>
          <t>Corregir a «Pública», «facilitará» y «esté».</t>
        </is>
      </c>
      <c r="F93" s="8" t="inlineStr">
        <is>
          <t>Pendiente</t>
        </is>
      </c>
    </row>
    <row r="94">
      <c r="A94" s="5" t="inlineStr">
        <is>
          <t>10.4 / 10.12</t>
        </is>
      </c>
      <c r="B94" s="6" t="inlineStr">
        <is>
          <t>Baja</t>
        </is>
      </c>
      <c r="C94" s="6" t="inlineStr">
        <is>
          <t>Cifras</t>
        </is>
      </c>
      <c r="D94" s="5" t="inlineStr">
        <is>
          <t>10.4 cita «3.143 estudiantes inscritos en 2025» y 10.12 «existen 3184 estudiantes».</t>
        </is>
      </c>
      <c r="E94" s="5" t="inlineStr">
        <is>
          <t>Usar la misma cifra y año.</t>
        </is>
      </c>
      <c r="F94" s="8" t="inlineStr">
        <is>
          <t>Pendiente</t>
        </is>
      </c>
    </row>
    <row r="95">
      <c r="A95" s="5" t="inlineStr">
        <is>
          <t>10.4 / 14.7</t>
        </is>
      </c>
      <c r="B95" s="6" t="inlineStr">
        <is>
          <t>Baja</t>
        </is>
      </c>
      <c r="C95" s="6" t="inlineStr">
        <is>
          <t>Cifras</t>
        </is>
      </c>
      <c r="D95" s="5" t="inlineStr">
        <is>
          <t>El auditorio está en el «Segundo» piso según 10.4 (Cuadro 4) y «en el primer piso» según 14.7.</t>
        </is>
      </c>
      <c r="E95" s="5" t="inlineStr">
        <is>
          <t>Verificar y uniformar.</t>
        </is>
      </c>
      <c r="F95" s="8" t="inlineStr">
        <is>
          <t>Pendiente</t>
        </is>
      </c>
    </row>
    <row r="96">
      <c r="A96" s="5" t="inlineStr">
        <is>
          <t>10.12</t>
        </is>
      </c>
      <c r="B96" s="6" t="inlineStr">
        <is>
          <t>Baja</t>
        </is>
      </c>
      <c r="C96" s="6" t="inlineStr">
        <is>
          <t>Ortografía</t>
        </is>
      </c>
      <c r="D96" s="5" t="inlineStr">
        <is>
          <t>«La capacidad de la plataforma Microsoft Temas hasta 1.000 usuarios».</t>
        </is>
      </c>
      <c r="E96" s="5" t="inlineStr">
        <is>
          <t>Corregir a «La plataforma Microsoft Teams tiene capacidad para hasta 1.000 usuarios».</t>
        </is>
      </c>
      <c r="F96" s="8" t="inlineStr">
        <is>
          <t>Pendiente</t>
        </is>
      </c>
    </row>
    <row r="97">
      <c r="A97" s="5" t="inlineStr">
        <is>
          <t>11.3.4 Cuadro 15</t>
        </is>
      </c>
      <c r="B97" s="6" t="inlineStr">
        <is>
          <t>Baja</t>
        </is>
      </c>
      <c r="C97" s="6" t="inlineStr">
        <is>
          <t>Otro</t>
        </is>
      </c>
      <c r="D97" s="5" t="inlineStr">
        <is>
          <t>Medida de mitigación «Turno nocturno, organización modular y tutoría académica», cuando el plan es de régimen anual, no modular.</t>
        </is>
      </c>
      <c r="E97" s="5" t="inlineStr">
        <is>
          <t>Sustituir «organización modular» por la medida real (p. ej., cursos de temporada o mesas).</t>
        </is>
      </c>
      <c r="F97" s="8" t="inlineStr">
        <is>
          <t>Pendiente</t>
        </is>
      </c>
    </row>
    <row r="98">
      <c r="A98" s="5" t="inlineStr">
        <is>
          <t>12.1.5 / 16.2</t>
        </is>
      </c>
      <c r="B98" s="6" t="inlineStr">
        <is>
          <t>Baja</t>
        </is>
      </c>
      <c r="C98" s="6" t="inlineStr">
        <is>
          <t>Cifras</t>
        </is>
      </c>
      <c r="D98" s="5" t="inlineStr">
        <is>
          <t>12 fija la evaluación de resultados «Con la primera promoción, 2031»; 16.2 la sitúa en «2032 en adelante», y en 2031 la primera cohorte aún cursa quinto año.</t>
        </is>
      </c>
      <c r="E98" s="5" t="inlineStr">
        <is>
          <t>Fijar la evaluación de producto en 2032 o después en ambos puntos.</t>
        </is>
      </c>
      <c r="F98" s="8" t="inlineStr">
        <is>
          <t>Pendiente</t>
        </is>
      </c>
    </row>
    <row r="99">
      <c r="A99" s="5" t="inlineStr">
        <is>
          <t>14.1 / 15</t>
        </is>
      </c>
      <c r="B99" s="6" t="inlineStr">
        <is>
          <t>Baja</t>
        </is>
      </c>
      <c r="C99" s="6" t="inlineStr">
        <is>
          <t>Cifras</t>
        </is>
      </c>
      <c r="D99" s="5" t="inlineStr">
        <is>
          <t>Pizarras de los pabellones: 14 (Cuadro 1) da 6 en cada uno; 15 (Cuadro 2) da 6, 8, 4 y 6. Tarimas: 14 da 1 en el Aula 2; 15 indica que todas las aulas tienen «dos tarimas».</t>
        </is>
      </c>
      <c r="E99" s="5" t="inlineStr">
        <is>
          <t>Conciliar con el relevamiento de octubre de 2026.</t>
        </is>
      </c>
      <c r="F99" s="8" t="inlineStr">
        <is>
          <t>Pendiente</t>
        </is>
      </c>
    </row>
    <row r="100">
      <c r="A100" s="5" t="inlineStr">
        <is>
          <t>14.5 / 14.6</t>
        </is>
      </c>
      <c r="B100" s="6" t="inlineStr">
        <is>
          <t>Baja</t>
        </is>
      </c>
      <c r="C100" s="6" t="inlineStr">
        <is>
          <t>Ortografía</t>
        </is>
      </c>
      <c r="D100" s="5" t="inlineStr">
        <is>
          <t>«La carrera tiene proyectado la compra» y «se concentran los trámites la Carrera».</t>
        </is>
      </c>
      <c r="E100" s="5" t="inlineStr">
        <is>
          <t>Corregir a «tiene proyectada la compra» y «los trámites de la Carrera».</t>
        </is>
      </c>
      <c r="F100" s="8" t="inlineStr">
        <is>
          <t>Pendiente</t>
        </is>
      </c>
    </row>
    <row r="101">
      <c r="A101" s="5" t="inlineStr">
        <is>
          <t>14.9.1 / 15</t>
        </is>
      </c>
      <c r="B101" s="6" t="inlineStr">
        <is>
          <t>Baja</t>
        </is>
      </c>
      <c r="C101" s="6" t="inlineStr">
        <is>
          <t>Cifras</t>
        </is>
      </c>
      <c r="D101" s="5" t="inlineStr">
        <is>
          <t>14.9.1: la sala de docentes ofrece «18» plazas; 15 indica que cuenta con «tres mesas, diez sillas y sillones».</t>
        </is>
      </c>
      <c r="E101" s="5" t="inlineStr">
        <is>
          <t>Uniformar.</t>
        </is>
      </c>
      <c r="F101" s="8" t="inlineStr">
        <is>
          <t>Pendiente</t>
        </is>
      </c>
    </row>
    <row r="102">
      <c r="A102" s="5" t="inlineStr">
        <is>
          <t>15</t>
        </is>
      </c>
      <c r="B102" s="6" t="inlineStr">
        <is>
          <t>Baja</t>
        </is>
      </c>
      <c r="C102" s="6" t="inlineStr">
        <is>
          <t>Ortografía</t>
        </is>
      </c>
      <c r="D102" s="5" t="inlineStr">
        <is>
          <t>«presentan puntos ciegos en: las gradas, los pasillos ni varias aulas» y «así mismo la Unidad de Postgrado».</t>
        </is>
      </c>
      <c r="E102" s="5" t="inlineStr">
        <is>
          <t>Corregir a «en las gradas, los pasillos y varias aulas» y «asimismo».</t>
        </is>
      </c>
      <c r="F102" s="8" t="inlineStr">
        <is>
          <t>Pendiente</t>
        </is>
      </c>
    </row>
    <row r="103">
      <c r="A103" s="5" t="inlineStr">
        <is>
          <t>16 Cuadro 1 / punto 3</t>
        </is>
      </c>
      <c r="B103" s="6" t="inlineStr">
        <is>
          <t>Baja</t>
        </is>
      </c>
      <c r="C103" s="6" t="inlineStr">
        <is>
          <t>Nombres</t>
        </is>
      </c>
      <c r="D103" s="5" t="inlineStr">
        <is>
          <t>Los nombres del Plan 2013 no coinciden con la malla del punto 3: «DER-102 Derecho Laboral y de Seguridad Social», «CPA-304 Contabilidad y Presupuesto Gubernamental», «MAT-201 Álgebra y Programación Lineales»; el punto 3 dice «Derecho Laboral y Seguridad Social», «Contabilidad y Presupuestos Gubernamental» y «Álgebra y Programación Lineal».</t>
        </is>
      </c>
      <c r="E103" s="5" t="inlineStr">
        <is>
          <t>Copiar los nombres literales del Plan 2013.</t>
        </is>
      </c>
      <c r="F103" s="8" t="inlineStr">
        <is>
          <t>Pendiente</t>
        </is>
      </c>
    </row>
    <row r="104">
      <c r="A104" s="5" t="inlineStr">
        <is>
          <t>16.2</t>
        </is>
      </c>
      <c r="B104" s="6" t="inlineStr">
        <is>
          <t>Baja</t>
        </is>
      </c>
      <c r="C104" s="6" t="inlineStr">
        <is>
          <t>Otro</t>
        </is>
      </c>
      <c r="D104" s="5" t="inlineStr">
        <is>
          <t>El cronograma incluye la «Habilitación de la salida intermedia de Técnico Universitario Superior» (2029) pero no la del Técnico Universitario Medio, que la primera cohorte alcanzaría al cerrar 2028.</t>
        </is>
      </c>
      <c r="E104" s="5" t="inlineStr">
        <is>
          <t>Agregar la habilitación del Técnico Universitario Medio en 2028.</t>
        </is>
      </c>
      <c r="F104" s="8" t="inlineStr">
        <is>
          <t>Pendiente</t>
        </is>
      </c>
    </row>
  </sheetData>
  <autoFilter ref="A4:F104"/>
  <conditionalFormatting sqref="B5:B104">
    <cfRule type="expression" priority="1" dxfId="2">
      <formula>$B5="Alta"</formula>
    </cfRule>
    <cfRule type="expression" priority="2" dxfId="1">
      <formula>$B5="Media"</formula>
    </cfRule>
    <cfRule type="expression" priority="3" dxfId="4">
      <formula>$B5="Baja"</formula>
    </cfRule>
  </conditionalFormatting>
  <conditionalFormatting sqref="F5:F104">
    <cfRule type="expression" priority="4" dxfId="0">
      <formula>$F5="Corregido"</formula>
    </cfRule>
    <cfRule type="expression" priority="5" dxfId="1">
      <formula>$F5="En proceso"</formula>
    </cfRule>
    <cfRule type="expression" priority="6" dxfId="2">
      <formula>$F5="Pendiente"</formula>
    </cfRule>
    <cfRule type="expression" priority="7" dxfId="3">
      <formula>$F5="No aplica"</formula>
    </cfRule>
  </conditionalFormatting>
  <dataValidations count="1">
    <dataValidation sqref="F5:F104" showDropDown="0" showInputMessage="0" showErrorMessage="0" allowBlank="1" type="list">
      <formula1>"Pendiente,En proceso,Corregido,No aplica"</formula1>
    </dataValidation>
  </dataValidations>
  <pageMargins left="0.75" right="0.75" top="1" bottom="1" header="0.5" footer="0.5"/>
  <pageSetup orientation="landscape" paperSize="1" fitToHeight="0" fitToWidth="1"/>
</worksheet>
</file>

<file path=xl/worksheets/sheet6.xml><?xml version="1.0" encoding="utf-8"?>
<worksheet xmlns="http://schemas.openxmlformats.org/spreadsheetml/2006/main">
  <sheetPr>
    <outlinePr summaryBelow="1" summaryRight="1"/>
    <pageSetUpPr fitToPage="1"/>
  </sheetPr>
  <dimension ref="A1:D13"/>
  <sheetViews>
    <sheetView zoomScale="90" workbookViewId="0">
      <pane ySplit="4" topLeftCell="A5" activePane="bottomLeft" state="frozen"/>
      <selection pane="bottomLeft" activeCell="A1" sqref="A1"/>
    </sheetView>
  </sheetViews>
  <sheetFormatPr baseColWidth="8" defaultRowHeight="15"/>
  <cols>
    <col width="5" customWidth="1" min="1" max="1"/>
    <col width="34" customWidth="1" min="2" max="2"/>
    <col width="100" customWidth="1" min="3" max="3"/>
    <col width="13" customWidth="1" min="4" max="4"/>
  </cols>
  <sheetData>
    <row r="1">
      <c r="A1" s="1" t="inlineStr">
        <is>
          <t>Recomendaciones generales</t>
        </is>
      </c>
    </row>
    <row r="2">
      <c r="A2" s="2" t="inlineStr">
        <is>
          <t>Acciones prioritarias antes de enviar el documento a la evaluación ex ante.</t>
        </is>
      </c>
    </row>
    <row r="4">
      <c r="A4" s="4" t="inlineStr">
        <is>
          <t>N°</t>
        </is>
      </c>
      <c r="B4" s="4" t="inlineStr">
        <is>
          <t>Tema</t>
        </is>
      </c>
      <c r="C4" s="4" t="inlineStr">
        <is>
          <t>Recomendación</t>
        </is>
      </c>
      <c r="D4" s="4" t="inlineStr">
        <is>
          <t>Seguimiento</t>
        </is>
      </c>
    </row>
    <row r="5">
      <c r="A5" s="6" t="n">
        <v>1</v>
      </c>
      <c r="B5" s="5" t="inlineStr">
        <is>
          <t>Modalidades de graduación (5.4)</t>
        </is>
      </c>
      <c r="C5" s="5" t="inlineStr">
        <is>
          <t>Asignar a cada modalidad su sigla, nombre, carga horaria y créditos, como exige el Artículo 12 de la Resolución HCU N.º 032/2025. Es el incumplimiento que más probablemente observará la evaluación ex ante.</t>
        </is>
      </c>
      <c r="D5" s="8" t="inlineStr">
        <is>
          <t>Pendiente</t>
        </is>
      </c>
    </row>
    <row r="6">
      <c r="A6" s="6" t="n">
        <v>2</v>
      </c>
      <c r="B6" s="5" t="inlineStr">
        <is>
          <t>Horas de práctica e interacción social (4.8 y 7)</t>
        </is>
      </c>
      <c r="C6" s="5" t="inlineStr">
        <is>
          <t>Fijar en el propio documento la cantidad mínima de horas de práctica preprofesional y de interacción social que cumple cada estudiante, en lugar de remitirlas a reglamentos por elaborar.</t>
        </is>
      </c>
      <c r="D6" s="8" t="inlineStr">
        <is>
          <t>Pendiente</t>
        </is>
      </c>
    </row>
    <row r="7">
      <c r="A7" s="6" t="n">
        <v>3</v>
      </c>
      <c r="B7" s="5" t="inlineStr">
        <is>
          <t>Estudiantes por paralelo (8.6)</t>
        </is>
      </c>
      <c r="C7" s="5" t="inlineStr">
        <is>
          <t>Fijar el número mínimo y máximo de estudiantes por paralelo; hoy el punto 11.1.1 cita metas de 80 y 60 estudiantes que el punto 8.6 no establece.</t>
        </is>
      </c>
      <c r="D7" s="8" t="inlineStr">
        <is>
          <t>Pendiente</t>
        </is>
      </c>
    </row>
    <row r="8">
      <c r="A8" s="6" t="n">
        <v>4</v>
      </c>
      <c r="B8" s="5" t="inlineStr">
        <is>
          <t>Planes de asignatura (4.5)</t>
        </is>
      </c>
      <c r="C8" s="5" t="inlineStr">
        <is>
          <t>El Artículo 9 pide, además de lo que ya tienen los itinerarios, una justificación y objetivos de la asignatura, las horas y créditos de cada elemento de competencia y un cronograma semanal. Conviene decidir si se añaden a los 43 planes o si se justifica su ausencia ante la Secretaría Académica.</t>
        </is>
      </c>
      <c r="D8" s="8" t="inlineStr">
        <is>
          <t>Pendiente</t>
        </is>
      </c>
    </row>
    <row r="9">
      <c r="A9" s="6" t="n">
        <v>5</v>
      </c>
      <c r="B9" s="5" t="inlineStr">
        <is>
          <t>Cuadro comparativo (Artículo 13)</t>
        </is>
      </c>
      <c r="C9" s="5" t="inlineStr">
        <is>
          <t>Elaborar el cuadro de la situación anterior y posterior al rediseño, que el reglamento califica de indispensable. El Cuadro 30 del punto 3 es cualitativo y puede servir de base.</t>
        </is>
      </c>
      <c r="D9" s="8" t="inlineStr">
        <is>
          <t>Pendiente</t>
        </is>
      </c>
    </row>
    <row r="10">
      <c r="A10" s="6" t="n">
        <v>6</v>
      </c>
      <c r="B10" s="5" t="inlineStr">
        <is>
          <t>Graduación (5.4 y 13)</t>
        </is>
      </c>
      <c r="C10" s="5" t="inlineStr">
        <is>
          <t>Unificar los requisitos de la graduación por excelencia, la situación del diplomado de articulación entre grado y posgrado y el respaldo del examen de grado técnico superior, y retirar la nota interna que queda en el Artículo 44 del punto 13.</t>
        </is>
      </c>
      <c r="D10" s="8" t="inlineStr">
        <is>
          <t>Pendiente</t>
        </is>
      </c>
    </row>
    <row r="11">
      <c r="A11" s="6" t="n">
        <v>7</v>
      </c>
      <c r="B11" s="5" t="inlineStr">
        <is>
          <t>Referencias cruzadas</t>
        </is>
      </c>
      <c r="C11" s="5" t="inlineStr">
        <is>
          <t>Cambiar las remisiones al punto 4.7.5 por el punto 5.3.4 en el punto 13, revisar las remisiones del punto 8 al punto 4.3.5 y completar las que apuntan a subpuntos inexistentes.</t>
        </is>
      </c>
      <c r="D11" s="8" t="inlineStr">
        <is>
          <t>Pendiente</t>
        </is>
      </c>
    </row>
    <row r="12">
      <c r="A12" s="6" t="n">
        <v>8</v>
      </c>
      <c r="B12" s="5" t="inlineStr">
        <is>
          <t>Cifras de infraestructura</t>
        </is>
      </c>
      <c r="C12" s="5" t="inlineStr">
        <is>
          <t>Unificar la capacidad de aulas y pabellones y el número de equipos de laboratorio entre los puntos 10, 11, 14 y 15.</t>
        </is>
      </c>
      <c r="D12" s="8" t="inlineStr">
        <is>
          <t>Pendiente</t>
        </is>
      </c>
    </row>
    <row r="13">
      <c r="A13" s="6" t="n">
        <v>9</v>
      </c>
      <c r="B13" s="5" t="inlineStr">
        <is>
          <t>Terminología</t>
        </is>
      </c>
      <c r="C13" s="5" t="inlineStr">
        <is>
          <t>Aplicar los cambios del punto 3 de este informe en una sola pasada, para que todo el documento use «Rediseño Curricular», «Área Contable y de Auditoría», «Área Contextual» y «Contador Público».</t>
        </is>
      </c>
      <c r="D13" s="8" t="inlineStr">
        <is>
          <t>Pendiente</t>
        </is>
      </c>
    </row>
  </sheetData>
  <autoFilter ref="A4:D13"/>
  <conditionalFormatting sqref="D5:D13">
    <cfRule type="expression" priority="1" dxfId="0">
      <formula>$D5="Corregido"</formula>
    </cfRule>
    <cfRule type="expression" priority="2" dxfId="1">
      <formula>$D5="En proceso"</formula>
    </cfRule>
    <cfRule type="expression" priority="3" dxfId="2">
      <formula>$D5="Pendiente"</formula>
    </cfRule>
    <cfRule type="expression" priority="4" dxfId="3">
      <formula>$D5="No aplica"</formula>
    </cfRule>
  </conditionalFormatting>
  <dataValidations count="1">
    <dataValidation sqref="D5:D13" showDropDown="0" showInputMessage="0" showErrorMessage="0" allowBlank="1" type="list">
      <formula1>"Pendiente,En proceso,Corregido,No aplica"</formula1>
    </dataValidation>
  </dataValidations>
  <pageMargins left="0.75" right="0.75" top="1" bottom="1" header="0.5" footer="0.5"/>
  <pageSetup orientation="landscape" paperSize="1" fitToHeight="0" fitToWidth="1"/>
</worksheet>
</file>

<file path=xl/worksheets/sheet7.xml><?xml version="1.0" encoding="utf-8"?>
<worksheet xmlns="http://schemas.openxmlformats.org/spreadsheetml/2006/main">
  <sheetPr>
    <outlinePr summaryBelow="1" summaryRight="1"/>
    <pageSetUpPr fitToPage="1"/>
  </sheetPr>
  <dimension ref="A1:D10"/>
  <sheetViews>
    <sheetView zoomScale="90" workbookViewId="0">
      <pane ySplit="4" topLeftCell="A5" activePane="bottomLeft" state="frozen"/>
      <selection pane="bottomLeft" activeCell="A1" sqref="A1"/>
    </sheetView>
  </sheetViews>
  <sheetFormatPr baseColWidth="8" defaultRowHeight="15"/>
  <cols>
    <col width="5" customWidth="1" min="1" max="1"/>
    <col width="34" customWidth="1" min="2" max="2"/>
    <col width="100" customWidth="1" min="3" max="3"/>
    <col width="13" customWidth="1" min="4" max="4"/>
  </cols>
  <sheetData>
    <row r="1">
      <c r="A1" s="1" t="inlineStr">
        <is>
          <t>Decisiones de la comisión y pendientes</t>
        </is>
      </c>
    </row>
    <row r="2">
      <c r="A2" s="2" t="inlineStr">
        <is>
          <t>Respuestas de la comisión a las consultas del informe.</t>
        </is>
      </c>
    </row>
    <row r="4">
      <c r="A4" s="4" t="inlineStr">
        <is>
          <t>N°</t>
        </is>
      </c>
      <c r="B4" s="4" t="inlineStr">
        <is>
          <t>Tema</t>
        </is>
      </c>
      <c r="C4" s="4" t="inlineStr">
        <is>
          <t>Decisión o situación</t>
        </is>
      </c>
      <c r="D4" s="4" t="inlineStr">
        <is>
          <t>Estado</t>
        </is>
      </c>
    </row>
    <row r="5">
      <c r="A5" s="6" t="n">
        <v>1</v>
      </c>
      <c r="B5" s="5" t="inlineStr">
        <is>
          <t>Cursos de temporada (5.3.3)</t>
        </is>
      </c>
      <c r="C5" s="5" t="inlineStr">
        <is>
          <t>Se copió el texto del archivo 04 CA, con la nota previa mínima de 30 sobre 100 para recuperar asignaturas de más de 80 horas. Falta ajustar el punto 13.1.3.</t>
        </is>
      </c>
      <c r="D5" s="6" t="inlineStr">
        <is>
          <t>Pendiente</t>
        </is>
      </c>
    </row>
    <row r="6">
      <c r="A6" s="6" t="n">
        <v>2</v>
      </c>
      <c r="B6" s="5" t="inlineStr">
        <is>
          <t>Asignaturas habilitadas para mesa</t>
        </is>
      </c>
      <c r="C6" s="5" t="inlineStr">
        <is>
          <t>Se mantienen los nombres de la malla para DER-101 y DER-201.</t>
        </is>
      </c>
      <c r="D6" s="6" t="inlineStr">
        <is>
          <t>Resuelto</t>
        </is>
      </c>
    </row>
    <row r="7">
      <c r="A7" s="6" t="n">
        <v>3</v>
      </c>
      <c r="B7" s="5" t="inlineStr">
        <is>
          <t>PETAENG</t>
        </is>
      </c>
      <c r="C7" s="5" t="inlineStr">
        <is>
          <t>Pendiente: la comisión solicitará la resolución que lo aprueba para completar el «xxx» del punto 5.4.2.</t>
        </is>
      </c>
      <c r="D7" s="6" t="inlineStr">
        <is>
          <t>Pendiente</t>
        </is>
      </c>
    </row>
    <row r="8">
      <c r="A8" s="6" t="n">
        <v>4</v>
      </c>
      <c r="B8" s="5" t="inlineStr">
        <is>
          <t>Horas de investigación de CPA-204 y CPA-510</t>
        </is>
      </c>
      <c r="C8" s="5" t="inlineStr">
        <is>
          <t>Se mantienen como las trabajó la comisión de esas asignaturas; se considerarán al evaluar sus planes.</t>
        </is>
      </c>
      <c r="D8" s="6" t="inlineStr">
        <is>
          <t>Resuelto</t>
        </is>
      </c>
    </row>
    <row r="9">
      <c r="A9" s="6" t="n">
        <v>5</v>
      </c>
      <c r="B9" s="5" t="inlineStr">
        <is>
          <t>Graduación por excelencia</t>
        </is>
      </c>
      <c r="C9" s="5" t="inlineStr">
        <is>
          <t>Se exige un promedio de 90 puntos. Pendiente: identificar la resolución que lo respalda y ajustar el Artículo 41 del punto 13.</t>
        </is>
      </c>
      <c r="D9" s="6" t="inlineStr">
        <is>
          <t>Pendiente</t>
        </is>
      </c>
    </row>
    <row r="10">
      <c r="A10" s="6" t="n">
        <v>6</v>
      </c>
      <c r="B10" s="5" t="inlineStr">
        <is>
          <t>Diplomado de articulación</t>
        </is>
      </c>
      <c r="C10" s="5" t="inlineStr">
        <is>
          <t>Se incorporó en el punto 5.4.2 como inciso f, resaltado en amarillo para revisarlo después; el PETAENG pasó a ser el inciso g.</t>
        </is>
      </c>
      <c r="D10" s="6" t="inlineStr">
        <is>
          <t>Resuelto</t>
        </is>
      </c>
    </row>
  </sheetData>
  <autoFilter ref="A4:D10"/>
  <conditionalFormatting sqref="D5:D10">
    <cfRule type="expression" priority="1" dxfId="0">
      <formula>$D5="Resuelto"</formula>
    </cfRule>
    <cfRule type="expression" priority="2" dxfId="2">
      <formula>$D5="Pendiente"</formula>
    </cfRule>
  </conditionalFormatting>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2026-10-16T12:59:53Z</dcterms:created>
  <dcterms:modified xmlns:dcterms="http://purl.org/dc/terms/" xmlns:xsi="http://www.w3.org/2001/XMLSchema-instance" xsi:type="dcterms:W3CDTF">2026-10-16T12:59:53Z</dcterms:modified>
</cp:coreProperties>
</file>