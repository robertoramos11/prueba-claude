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list" sheetId="1" state="visible" r:id="rId1"/>
    <sheet xmlns:r="http://schemas.openxmlformats.org/officeDocument/2006/relationships" name="Resumen" sheetId="2" state="visible" r:id="rId2"/>
  </sheets>
  <definedNames>
    <definedName name="_xlnm._FilterDatabase" localSheetId="0" hidden="1">'Checklist'!$A$4:$I$137</definedName>
    <definedName name="_xlnm.Print_Titles" localSheetId="0">'Checklist'!$4:$4</definedName>
  </definedNames>
  <calcPr calcId="12451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Century Gothic"/>
      <b val="1"/>
      <color rgb="004472C4"/>
      <sz val="14"/>
    </font>
    <font>
      <name val="Century Gothic"/>
      <i val="1"/>
      <color rgb="00595959"/>
      <sz val="10"/>
    </font>
    <font>
      <name val="Century Gothic"/>
      <b val="1"/>
      <color rgb="00FFFFFF"/>
      <sz val="10"/>
    </font>
    <font>
      <name val="Century Gothic"/>
      <sz val="10"/>
    </font>
    <font>
      <name val="Century Gothic"/>
      <b val="1"/>
      <sz val="10"/>
    </font>
  </fonts>
  <fills count="4">
    <fill>
      <patternFill/>
    </fill>
    <fill>
      <patternFill patternType="gray125"/>
    </fill>
    <fill>
      <patternFill patternType="solid">
        <fgColor rgb="004472C4"/>
      </patternFill>
    </fill>
    <fill>
      <patternFill patternType="solid">
        <fgColor rgb="00D9E2F3"/>
      </patternFill>
    </fill>
  </fills>
  <borders count="2">
    <border>
      <left/>
      <right/>
      <top/>
      <bottom/>
      <diagonal/>
    </border>
    <border>
      <left style="thin">
        <color rgb="008EAADB"/>
      </left>
      <right style="thin">
        <color rgb="008EAADB"/>
      </right>
      <top style="thin">
        <color rgb="008EAADB"/>
      </top>
      <bottom style="thin">
        <color rgb="008EAADB"/>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3" fillId="2" borderId="1" applyAlignment="1" pivotButton="0" quotePrefix="0" xfId="0">
      <alignment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indent="2"/>
    </xf>
    <xf numFmtId="0" fontId="4" fillId="0" borderId="1" applyAlignment="1" pivotButton="0" quotePrefix="0" xfId="0">
      <alignment horizontal="left" vertical="center" wrapText="1"/>
    </xf>
    <xf numFmtId="164" fontId="4" fillId="0" borderId="1" applyAlignment="1" pivotButton="0" quotePrefix="0" xfId="0">
      <alignment horizontal="center" vertical="center" wrapText="1"/>
    </xf>
    <xf numFmtId="0" fontId="4" fillId="0" borderId="1" applyAlignment="1" pivotButton="0" quotePrefix="0" xfId="0">
      <alignment vertical="center" wrapText="1"/>
    </xf>
    <xf numFmtId="0" fontId="5" fillId="3" borderId="1" applyAlignment="1" pivotButton="0" quotePrefix="0" xfId="0">
      <alignment horizontal="center" vertical="center" wrapText="1"/>
    </xf>
    <xf numFmtId="0" fontId="5" fillId="3" borderId="1" applyAlignment="1" pivotButton="0" quotePrefix="0" xfId="0">
      <alignment horizontal="left" vertical="center" wrapText="1" indent="1"/>
    </xf>
    <xf numFmtId="0" fontId="5" fillId="3" borderId="1" applyAlignment="1" pivotButton="0" quotePrefix="0" xfId="0">
      <alignment horizontal="left" vertical="center" wrapText="1"/>
    </xf>
    <xf numFmtId="0" fontId="5" fillId="3" borderId="1" applyAlignment="1" pivotButton="0" quotePrefix="0" xfId="0">
      <alignment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5" fillId="0" borderId="1" applyAlignment="1" pivotButton="0" quotePrefix="0" xfId="0">
      <alignment vertical="center" wrapText="1"/>
    </xf>
    <xf numFmtId="9" fontId="4" fillId="0" borderId="1" applyAlignment="1" pivotButton="0" quotePrefix="0" xfId="0">
      <alignment horizontal="center" vertical="center" wrapText="1"/>
    </xf>
    <xf numFmtId="0" fontId="5" fillId="3" borderId="1" applyAlignment="1" pivotButton="0" quotePrefix="0" xfId="0">
      <alignment horizontal="center" vertical="center"/>
    </xf>
    <xf numFmtId="0" fontId="5" fillId="3" borderId="1" applyAlignment="1" pivotButton="0" quotePrefix="0" xfId="0">
      <alignment horizontal="left" vertical="center"/>
    </xf>
    <xf numFmtId="9" fontId="5" fillId="3" borderId="1" applyAlignment="1" pivotButton="0" quotePrefix="0" xfId="0">
      <alignment horizontal="center" vertical="center"/>
    </xf>
  </cellXfs>
  <cellStyles count="1">
    <cellStyle name="Normal" xfId="0" builtinId="0" hidden="0"/>
  </cellStyles>
  <dxfs count="4">
    <dxf>
      <font>
        <name val="Century Gothic"/>
        <b val="1"/>
        <color rgb="00006100"/>
      </font>
      <fill>
        <patternFill patternType="solid">
          <fgColor rgb="00C6EFCE"/>
        </patternFill>
      </fill>
    </dxf>
    <dxf>
      <font>
        <name val="Century Gothic"/>
        <b val="1"/>
        <color rgb="009C5700"/>
      </font>
      <fill>
        <patternFill patternType="solid">
          <fgColor rgb="00FFEB9C"/>
        </patternFill>
      </fill>
    </dxf>
    <dxf>
      <font>
        <name val="Century Gothic"/>
        <b val="1"/>
        <color rgb="009C0006"/>
      </font>
      <fill>
        <patternFill patternType="solid">
          <fgColor rgb="00FFC7CE"/>
        </patternFill>
      </fill>
    </dxf>
    <dxf>
      <font>
        <color rgb="00006100"/>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13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8" customWidth="1" min="2" max="2"/>
    <col width="30" customWidth="1" min="3" max="3"/>
    <col width="30" customWidth="1" min="4" max="4"/>
    <col width="15" customWidth="1" min="5" max="5"/>
    <col width="13" customWidth="1" min="6" max="6"/>
    <col width="13" customWidth="1" min="7" max="7"/>
    <col width="12" customWidth="1" min="8" max="8"/>
    <col width="40" customWidth="1" min="9" max="9"/>
    <col hidden="1" width="6" customWidth="1" min="10" max="10"/>
  </cols>
  <sheetData>
    <row r="1">
      <c r="A1" s="1" t="inlineStr">
        <is>
          <t>Rediseño Curricular 2026 · Control de entregas de las subcomisiones</t>
        </is>
      </c>
    </row>
    <row r="2">
      <c r="A2" s="2" t="inlineStr">
        <is>
          <t>Carrera de Contaduría Pública · Facultad de Ciencias Económicas y Financieras · Universidad Mayor de San Andrés</t>
        </is>
      </c>
    </row>
    <row r="4" ht="30" customHeight="1">
      <c r="A4" s="3" t="inlineStr">
        <is>
          <t>Código</t>
        </is>
      </c>
      <c r="B4" s="3" t="inlineStr">
        <is>
          <t>Punto del índice</t>
        </is>
      </c>
      <c r="C4" s="3" t="inlineStr">
        <is>
          <t>Responsable docente</t>
        </is>
      </c>
      <c r="D4" s="3" t="inlineStr">
        <is>
          <t>Responsable estudiantil</t>
        </is>
      </c>
      <c r="E4" s="3" t="inlineStr">
        <is>
          <t>Estado</t>
        </is>
      </c>
      <c r="F4" s="3" t="inlineStr">
        <is>
          <t>Fecha de recepción</t>
        </is>
      </c>
      <c r="G4" s="3" t="inlineStr">
        <is>
          <t>Formato recibido</t>
        </is>
      </c>
      <c r="H4" s="3" t="inlineStr">
        <is>
          <t>Adaptado al formato</t>
        </is>
      </c>
      <c r="I4" s="3" t="inlineStr">
        <is>
          <t>Observaciones</t>
        </is>
      </c>
      <c r="J4" s="3" t="inlineStr">
        <is>
          <t>Entregable</t>
        </is>
      </c>
    </row>
    <row r="5">
      <c r="A5" s="3" t="inlineStr">
        <is>
          <t>1.</t>
        </is>
      </c>
      <c r="B5" s="4" t="inlineStr">
        <is>
          <t>Identificación del programa/carrera</t>
        </is>
      </c>
      <c r="C5" s="4" t="inlineStr">
        <is>
          <t>Edwin Gutiérrez Zapana</t>
        </is>
      </c>
      <c r="D5" s="4" t="inlineStr">
        <is>
          <t>Alarcon Pablo Alejandro</t>
        </is>
      </c>
      <c r="E5" s="3">
        <f>IF(SUMPRODUCT(($J$6:$J$18=1)*($E$6:$E$18="Entregado"))=SUMPRODUCT(($J$6:$J$18=1)*1),"Completo",IF(SUMPRODUCT(($J$6:$J$18=1)*($E$6:$E$18="Pendiente"))=SUMPRODUCT(($J$6:$J$18=1)*1),"Pendiente","En proceso"))</f>
        <v/>
      </c>
      <c r="F5" s="3">
        <f>SUMPRODUCT(($J$6:$J$18=1)*($E$6:$E$18="Entregado"))&amp;" de "&amp;SUMPRODUCT(($J$6:$J$18=1)*1)</f>
        <v/>
      </c>
      <c r="G5" s="3" t="inlineStr">
        <is>
          <t>—</t>
        </is>
      </c>
      <c r="H5" s="3" t="inlineStr">
        <is>
          <t>—</t>
        </is>
      </c>
      <c r="I5" s="5" t="inlineStr"/>
      <c r="J5" s="3" t="n">
        <v>0</v>
      </c>
    </row>
    <row r="6">
      <c r="A6" s="6" t="inlineStr">
        <is>
          <t>1.1</t>
        </is>
      </c>
      <c r="B6" s="7" t="inlineStr">
        <is>
          <t>Facultad</t>
        </is>
      </c>
      <c r="C6" s="8" t="inlineStr">
        <is>
          <t>Edwin Gutiérrez Zapana</t>
        </is>
      </c>
      <c r="D6" s="8" t="inlineStr">
        <is>
          <t>Alarcon Pablo Alejandro</t>
        </is>
      </c>
      <c r="E6" s="6" t="inlineStr">
        <is>
          <t xml:space="preserve">Entregado</t>
        </is>
      </c>
      <c r="F6" s="9" t="n">
        <v>46307</v>
      </c>
      <c r="G6" s="6" t="inlineStr">
        <is>
          <t xml:space="preserve">Word</t>
        </is>
      </c>
      <c r="H6" s="6" t="inlineStr">
        <is>
          <t xml:space="preserve">Sí</t>
        </is>
      </c>
      <c r="I6" s="10" t="inlineStr">
        <is>
          <t xml:space="preserve">Documento Primera Parte Entrega</t>
        </is>
      </c>
      <c r="J6" s="6" t="n">
        <v>1</v>
      </c>
    </row>
    <row r="7">
      <c r="A7" s="6" t="inlineStr">
        <is>
          <t>1.2</t>
        </is>
      </c>
      <c r="B7" s="7" t="inlineStr">
        <is>
          <t>Programa/carrera</t>
        </is>
      </c>
      <c r="C7" s="8" t="inlineStr">
        <is>
          <t>Edwin Gutiérrez Zapana</t>
        </is>
      </c>
      <c r="D7" s="8" t="inlineStr">
        <is>
          <t>Alarcon Pablo Alejandro</t>
        </is>
      </c>
      <c r="E7" s="6" t="inlineStr">
        <is>
          <t xml:space="preserve">Entregado</t>
        </is>
      </c>
      <c r="F7" s="9" t="n">
        <v>46307</v>
      </c>
      <c r="G7" s="6" t="inlineStr">
        <is>
          <t xml:space="preserve">Word</t>
        </is>
      </c>
      <c r="H7" s="6" t="inlineStr">
        <is>
          <t xml:space="preserve">Sí</t>
        </is>
      </c>
      <c r="I7" s="10" t="inlineStr">
        <is>
          <t xml:space="preserve">Documento Primera Parte Entrega</t>
        </is>
      </c>
      <c r="J7" s="6" t="n">
        <v>1</v>
      </c>
    </row>
    <row r="8">
      <c r="A8" s="6" t="inlineStr">
        <is>
          <t>1.3</t>
        </is>
      </c>
      <c r="B8" s="7" t="inlineStr">
        <is>
          <t>Fecha de creación y Resolución HCU</t>
        </is>
      </c>
      <c r="C8" s="8" t="inlineStr">
        <is>
          <t>Edwin Gutiérrez Zapana</t>
        </is>
      </c>
      <c r="D8" s="8" t="inlineStr">
        <is>
          <t>Alarcon Pablo Alejandro</t>
        </is>
      </c>
      <c r="E8" s="6" t="inlineStr">
        <is>
          <t xml:space="preserve">Entregado</t>
        </is>
      </c>
      <c r="F8" s="9" t="n">
        <v>46307</v>
      </c>
      <c r="G8" s="6" t="inlineStr">
        <is>
          <t xml:space="preserve">Word</t>
        </is>
      </c>
      <c r="H8" s="6" t="inlineStr">
        <is>
          <t xml:space="preserve">Sí</t>
        </is>
      </c>
      <c r="I8" s="10" t="inlineStr">
        <is>
          <t xml:space="preserve">Documento Primera Parte Entrega</t>
        </is>
      </c>
      <c r="J8" s="6" t="n">
        <v>1</v>
      </c>
    </row>
    <row r="9">
      <c r="A9" s="6" t="inlineStr">
        <is>
          <t>1.4</t>
        </is>
      </c>
      <c r="B9" s="7" t="inlineStr">
        <is>
          <t>Resolución(es) HCU que aprobaron planes de estudio anteriores</t>
        </is>
      </c>
      <c r="C9" s="8" t="inlineStr">
        <is>
          <t>Edwin Gutiérrez Zapana</t>
        </is>
      </c>
      <c r="D9" s="8" t="inlineStr">
        <is>
          <t>Alarcon Pablo Alejandro</t>
        </is>
      </c>
      <c r="E9" s="6" t="inlineStr">
        <is>
          <t xml:space="preserve">Entregado</t>
        </is>
      </c>
      <c r="F9" s="9" t="n">
        <v>46307</v>
      </c>
      <c r="G9" s="6" t="inlineStr">
        <is>
          <t xml:space="preserve">Word</t>
        </is>
      </c>
      <c r="H9" s="6" t="inlineStr">
        <is>
          <t xml:space="preserve">Sí</t>
        </is>
      </c>
      <c r="I9" s="10" t="inlineStr">
        <is>
          <t xml:space="preserve">Documento Primera Parte Entrega</t>
        </is>
      </c>
      <c r="J9" s="6" t="n">
        <v>1</v>
      </c>
    </row>
    <row r="10">
      <c r="A10" s="6" t="inlineStr">
        <is>
          <t>1.5</t>
        </is>
      </c>
      <c r="B10" s="7" t="inlineStr">
        <is>
          <t>Grado académico terminal</t>
        </is>
      </c>
      <c r="C10" s="8" t="inlineStr">
        <is>
          <t>Edwin Gutiérrez Zapana</t>
        </is>
      </c>
      <c r="D10" s="8" t="inlineStr">
        <is>
          <t>Alarcon Pablo Alejandro</t>
        </is>
      </c>
      <c r="E10" s="6" t="inlineStr">
        <is>
          <t xml:space="preserve">Entregado</t>
        </is>
      </c>
      <c r="F10" s="9" t="n">
        <v>46307</v>
      </c>
      <c r="G10" s="6" t="inlineStr">
        <is>
          <t xml:space="preserve">Word</t>
        </is>
      </c>
      <c r="H10" s="6" t="inlineStr">
        <is>
          <t xml:space="preserve">Sí</t>
        </is>
      </c>
      <c r="I10" s="10" t="inlineStr">
        <is>
          <t xml:space="preserve">Documento Primera Parte Entrega</t>
        </is>
      </c>
      <c r="J10" s="6" t="n">
        <v>1</v>
      </c>
    </row>
    <row r="11">
      <c r="A11" s="6" t="inlineStr">
        <is>
          <t>1.6</t>
        </is>
      </c>
      <c r="B11" s="7" t="inlineStr">
        <is>
          <t>Grado(s) académico(s) intermedio(s)</t>
        </is>
      </c>
      <c r="C11" s="8" t="inlineStr">
        <is>
          <t>Edwin Gutiérrez Zapana</t>
        </is>
      </c>
      <c r="D11" s="8" t="inlineStr">
        <is>
          <t>Alarcon Pablo Alejandro</t>
        </is>
      </c>
      <c r="E11" s="6" t="inlineStr">
        <is>
          <t xml:space="preserve">Entregado</t>
        </is>
      </c>
      <c r="F11" s="9" t="n">
        <v>46307</v>
      </c>
      <c r="G11" s="6" t="inlineStr">
        <is>
          <t xml:space="preserve">Word</t>
        </is>
      </c>
      <c r="H11" s="6" t="inlineStr">
        <is>
          <t xml:space="preserve">Sí</t>
        </is>
      </c>
      <c r="I11" s="10" t="inlineStr">
        <is>
          <t xml:space="preserve">Documento Primera Parte Entrega</t>
        </is>
      </c>
      <c r="J11" s="6" t="n">
        <v>1</v>
      </c>
    </row>
    <row r="12">
      <c r="A12" s="6" t="inlineStr">
        <is>
          <t>1.7</t>
        </is>
      </c>
      <c r="B12" s="7" t="inlineStr">
        <is>
          <t>Sede(s)</t>
        </is>
      </c>
      <c r="C12" s="8" t="inlineStr">
        <is>
          <t>Edwin Gutiérrez Zapana</t>
        </is>
      </c>
      <c r="D12" s="8" t="inlineStr">
        <is>
          <t>Alarcon Pablo Alejandro</t>
        </is>
      </c>
      <c r="E12" s="6" t="inlineStr">
        <is>
          <t xml:space="preserve">Entregado</t>
        </is>
      </c>
      <c r="F12" s="9" t="n">
        <v>46307</v>
      </c>
      <c r="G12" s="6" t="inlineStr">
        <is>
          <t xml:space="preserve">Word</t>
        </is>
      </c>
      <c r="H12" s="6" t="inlineStr">
        <is>
          <t xml:space="preserve">Sí</t>
        </is>
      </c>
      <c r="I12" s="10" t="inlineStr">
        <is>
          <t xml:space="preserve">Documento Primera Parte Entrega</t>
        </is>
      </c>
      <c r="J12" s="6" t="n">
        <v>1</v>
      </c>
    </row>
    <row r="13">
      <c r="A13" s="6" t="inlineStr">
        <is>
          <t>1.8</t>
        </is>
      </c>
      <c r="B13" s="7" t="inlineStr">
        <is>
          <t>Diploma académico terminal</t>
        </is>
      </c>
      <c r="C13" s="8" t="inlineStr">
        <is>
          <t>Edwin Gutiérrez Zapana</t>
        </is>
      </c>
      <c r="D13" s="8" t="inlineStr">
        <is>
          <t>Alarcon Pablo Alejandro</t>
        </is>
      </c>
      <c r="E13" s="6" t="inlineStr">
        <is>
          <t xml:space="preserve">Entregado</t>
        </is>
      </c>
      <c r="F13" s="9" t="n">
        <v>46307</v>
      </c>
      <c r="G13" s="6" t="inlineStr">
        <is>
          <t xml:space="preserve">Word</t>
        </is>
      </c>
      <c r="H13" s="6" t="inlineStr">
        <is>
          <t xml:space="preserve">Sí</t>
        </is>
      </c>
      <c r="I13" s="10" t="inlineStr">
        <is>
          <t xml:space="preserve">Documento Primera Parte Entrega</t>
        </is>
      </c>
      <c r="J13" s="6" t="n">
        <v>1</v>
      </c>
    </row>
    <row r="14">
      <c r="A14" s="6" t="inlineStr">
        <is>
          <t>1.9</t>
        </is>
      </c>
      <c r="B14" s="7" t="inlineStr">
        <is>
          <t>Diploma(s) académico(s) intermedio(s)</t>
        </is>
      </c>
      <c r="C14" s="8" t="inlineStr">
        <is>
          <t>Edwin Gutiérrez Zapana</t>
        </is>
      </c>
      <c r="D14" s="8" t="inlineStr">
        <is>
          <t>Alarcon Pablo Alejandro</t>
        </is>
      </c>
      <c r="E14" s="6" t="inlineStr">
        <is>
          <t xml:space="preserve">Entregado</t>
        </is>
      </c>
      <c r="F14" s="9" t="n">
        <v>46307</v>
      </c>
      <c r="G14" s="6" t="inlineStr">
        <is>
          <t xml:space="preserve">Word</t>
        </is>
      </c>
      <c r="H14" s="6" t="inlineStr">
        <is>
          <t xml:space="preserve">Sí</t>
        </is>
      </c>
      <c r="I14" s="10" t="inlineStr">
        <is>
          <t xml:space="preserve">Documento Primera Parte Entrega</t>
        </is>
      </c>
      <c r="J14" s="6" t="n">
        <v>1</v>
      </c>
    </row>
    <row r="15">
      <c r="A15" s="6" t="inlineStr">
        <is>
          <t>1.10</t>
        </is>
      </c>
      <c r="B15" s="7" t="inlineStr">
        <is>
          <t>Título Profesional</t>
        </is>
      </c>
      <c r="C15" s="8" t="inlineStr">
        <is>
          <t>Edwin Gutiérrez Zapana</t>
        </is>
      </c>
      <c r="D15" s="8" t="inlineStr">
        <is>
          <t>Alarcon Pablo Alejandro</t>
        </is>
      </c>
      <c r="E15" s="6" t="inlineStr">
        <is>
          <t xml:space="preserve">Entregado</t>
        </is>
      </c>
      <c r="F15" s="9" t="n">
        <v>46307</v>
      </c>
      <c r="G15" s="6" t="inlineStr">
        <is>
          <t xml:space="preserve">Word</t>
        </is>
      </c>
      <c r="H15" s="6" t="inlineStr">
        <is>
          <t xml:space="preserve">Sí</t>
        </is>
      </c>
      <c r="I15" s="10" t="inlineStr">
        <is>
          <t xml:space="preserve">Documento Primera Parte Entrega</t>
        </is>
      </c>
      <c r="J15" s="6" t="n">
        <v>1</v>
      </c>
    </row>
    <row r="16">
      <c r="A16" s="6" t="inlineStr">
        <is>
          <t>1.11</t>
        </is>
      </c>
      <c r="B16" s="7" t="inlineStr">
        <is>
          <t>Título(s) profesional(es) intermedio(s)</t>
        </is>
      </c>
      <c r="C16" s="8" t="inlineStr">
        <is>
          <t>Edwin Gutiérrez Zapana</t>
        </is>
      </c>
      <c r="D16" s="8" t="inlineStr">
        <is>
          <t>Alarcon Pablo Alejandro</t>
        </is>
      </c>
      <c r="E16" s="6" t="inlineStr">
        <is>
          <t xml:space="preserve">Entregado</t>
        </is>
      </c>
      <c r="F16" s="9" t="n">
        <v>46307</v>
      </c>
      <c r="G16" s="6" t="inlineStr">
        <is>
          <t xml:space="preserve">Word</t>
        </is>
      </c>
      <c r="H16" s="6" t="inlineStr">
        <is>
          <t xml:space="preserve">Sí</t>
        </is>
      </c>
      <c r="I16" s="10" t="inlineStr">
        <is>
          <t xml:space="preserve">Documento Primera Parte Entrega</t>
        </is>
      </c>
      <c r="J16" s="6" t="n">
        <v>1</v>
      </c>
    </row>
    <row r="17">
      <c r="A17" s="6" t="inlineStr">
        <is>
          <t>1.12</t>
        </is>
      </c>
      <c r="B17" s="7" t="inlineStr">
        <is>
          <t>Modalidad(es) de docencia</t>
        </is>
      </c>
      <c r="C17" s="8" t="inlineStr">
        <is>
          <t>Edwin Gutiérrez Zapana</t>
        </is>
      </c>
      <c r="D17" s="8" t="inlineStr">
        <is>
          <t>Alarcon Pablo Alejandro</t>
        </is>
      </c>
      <c r="E17" s="6" t="inlineStr">
        <is>
          <t xml:space="preserve">Entregado</t>
        </is>
      </c>
      <c r="F17" s="9" t="n">
        <v>46307</v>
      </c>
      <c r="G17" s="6" t="inlineStr">
        <is>
          <t xml:space="preserve">Word</t>
        </is>
      </c>
      <c r="H17" s="6" t="inlineStr">
        <is>
          <t xml:space="preserve">Sí</t>
        </is>
      </c>
      <c r="I17" s="10" t="inlineStr">
        <is>
          <t xml:space="preserve">Documento Primera Parte Entrega</t>
        </is>
      </c>
      <c r="J17" s="6" t="n">
        <v>1</v>
      </c>
    </row>
    <row r="18">
      <c r="A18" s="6" t="inlineStr">
        <is>
          <t>1.13</t>
        </is>
      </c>
      <c r="B18" s="7" t="inlineStr">
        <is>
          <t>Otras características</t>
        </is>
      </c>
      <c r="C18" s="8" t="inlineStr">
        <is>
          <t>Edwin Gutiérrez Zapana</t>
        </is>
      </c>
      <c r="D18" s="8" t="inlineStr">
        <is>
          <t>Alarcon Pablo Alejandro</t>
        </is>
      </c>
      <c r="E18" s="6" t="inlineStr">
        <is>
          <t>Pendiente</t>
        </is>
      </c>
      <c r="F18" s="9" t="n"/>
      <c r="G18" s="6" t="n"/>
      <c r="H18" s="6" t="inlineStr">
        <is>
          <t>No</t>
        </is>
      </c>
      <c r="I18" s="10" t="n"/>
      <c r="J18" s="6" t="n">
        <v>1</v>
      </c>
    </row>
    <row r="19">
      <c r="A19" s="3" t="inlineStr">
        <is>
          <t>2.</t>
        </is>
      </c>
      <c r="B19" s="4" t="inlineStr">
        <is>
          <t>Antecedentes</t>
        </is>
      </c>
      <c r="C19" s="4" t="inlineStr">
        <is>
          <t>Sin asignar</t>
        </is>
      </c>
      <c r="D19" s="4" t="inlineStr">
        <is>
          <t>Sin asignar</t>
        </is>
      </c>
      <c r="E19" s="3">
        <f>IF(SUMPRODUCT(($J$20:$J$26=1)*($E$20:$E$26="Entregado"))=SUMPRODUCT(($J$20:$J$26=1)*1),"Completo",IF(SUMPRODUCT(($J$20:$J$26=1)*($E$20:$E$26="Pendiente"))=SUMPRODUCT(($J$20:$J$26=1)*1),"Pendiente","En proceso"))</f>
        <v/>
      </c>
      <c r="F19" s="3">
        <f>SUMPRODUCT(($J$20:$J$26=1)*($E$20:$E$26="Entregado"))&amp;" de "&amp;SUMPRODUCT(($J$20:$J$26=1)*1)</f>
        <v/>
      </c>
      <c r="G19" s="3" t="inlineStr">
        <is>
          <t>—</t>
        </is>
      </c>
      <c r="H19" s="3" t="inlineStr">
        <is>
          <t>—</t>
        </is>
      </c>
      <c r="I19" s="5" t="inlineStr"/>
      <c r="J19" s="3" t="n">
        <v>0</v>
      </c>
    </row>
    <row r="20">
      <c r="A20" s="6" t="inlineStr">
        <is>
          <t>2.1</t>
        </is>
      </c>
      <c r="B20" s="7" t="inlineStr">
        <is>
          <t>Datos generales del programa/carrera</t>
        </is>
      </c>
      <c r="C20" s="8" t="inlineStr">
        <is>
          <t>Sin asignar</t>
        </is>
      </c>
      <c r="D20" s="8" t="inlineStr">
        <is>
          <t>Sin asignar</t>
        </is>
      </c>
      <c r="E20" s="6" t="inlineStr">
        <is>
          <t xml:space="preserve">Entregado</t>
        </is>
      </c>
      <c r="F20" s="9" t="n">
        <v>46307</v>
      </c>
      <c r="G20" s="6" t="inlineStr">
        <is>
          <t xml:space="preserve">Word</t>
        </is>
      </c>
      <c r="H20" s="6" t="inlineStr">
        <is>
          <t xml:space="preserve">Sí</t>
        </is>
      </c>
      <c r="I20" s="10" t="inlineStr">
        <is>
          <t xml:space="preserve">Documento Primera Parte Entrega</t>
        </is>
      </c>
      <c r="J20" s="6" t="n">
        <v>1</v>
      </c>
    </row>
    <row r="21">
      <c r="A21" s="6" t="inlineStr">
        <is>
          <t>2.2</t>
        </is>
      </c>
      <c r="B21" s="7" t="inlineStr">
        <is>
          <t>Misión, visión de la carrera</t>
        </is>
      </c>
      <c r="C21" s="8" t="inlineStr">
        <is>
          <t>Sin asignar</t>
        </is>
      </c>
      <c r="D21" s="8" t="inlineStr">
        <is>
          <t>Sin asignar</t>
        </is>
      </c>
      <c r="E21" s="6" t="inlineStr">
        <is>
          <t>Entregado</t>
        </is>
      </c>
      <c r="F21" s="9" t="n">
        <v>46306</v>
      </c>
      <c r="G21" s="6" t="inlineStr">
        <is>
          <t>Word</t>
        </is>
      </c>
      <c r="H21" s="6" t="inlineStr">
        <is>
          <t>Sí</t>
        </is>
      </c>
      <c r="I21" s="10" t="inlineStr">
        <is>
          <t xml:space="preserve">Documento Misión, Visión y Perfil Profesional 2026; también en Documento Primera Parte Entrega (elegir versión)</t>
        </is>
      </c>
      <c r="J21" s="6" t="n">
        <v>1</v>
      </c>
    </row>
    <row r="22">
      <c r="A22" s="6" t="inlineStr">
        <is>
          <t>2.3</t>
        </is>
      </c>
      <c r="B22" s="7" t="inlineStr">
        <is>
          <t>Plan de desarrollo de la carrera</t>
        </is>
      </c>
      <c r="C22" s="8" t="inlineStr">
        <is>
          <t>Sin asignar</t>
        </is>
      </c>
      <c r="D22" s="8" t="inlineStr">
        <is>
          <t>Sin asignar</t>
        </is>
      </c>
      <c r="E22" s="6" t="inlineStr">
        <is>
          <t>Pendiente</t>
        </is>
      </c>
      <c r="F22" s="9" t="n"/>
      <c r="G22" s="6" t="n"/>
      <c r="H22" s="6" t="inlineStr">
        <is>
          <t>No</t>
        </is>
      </c>
      <c r="I22" s="10" t="n"/>
      <c r="J22" s="6" t="n">
        <v>1</v>
      </c>
    </row>
    <row r="23">
      <c r="A23" s="6" t="inlineStr">
        <is>
          <t>2.4</t>
        </is>
      </c>
      <c r="B23" s="7" t="inlineStr">
        <is>
          <t>Objetivos del programa/carrera</t>
        </is>
      </c>
      <c r="C23" s="8" t="inlineStr">
        <is>
          <t>Sin asignar</t>
        </is>
      </c>
      <c r="D23" s="8" t="inlineStr">
        <is>
          <t>Sin asignar</t>
        </is>
      </c>
      <c r="E23" s="6" t="inlineStr">
        <is>
          <t>Entregado</t>
        </is>
      </c>
      <c r="F23" s="9" t="n">
        <v>46306</v>
      </c>
      <c r="G23" s="6" t="inlineStr">
        <is>
          <t>Word</t>
        </is>
      </c>
      <c r="H23" s="6" t="inlineStr">
        <is>
          <t>Sí</t>
        </is>
      </c>
      <c r="I23" s="10" t="inlineStr">
        <is>
          <t xml:space="preserve">Documento Misión, Visión y Perfil Profesional 2026; también en Documento 04 Plan de Estudios 2026; también en Documento Primera Parte Entrega (elegir versión)</t>
        </is>
      </c>
      <c r="J23" s="6" t="n">
        <v>1</v>
      </c>
    </row>
    <row r="24">
      <c r="A24" s="6" t="inlineStr">
        <is>
          <t>2.5</t>
        </is>
      </c>
      <c r="B24" s="7" t="inlineStr">
        <is>
          <t>Características del programa/carrera</t>
        </is>
      </c>
      <c r="C24" s="8" t="inlineStr">
        <is>
          <t>Sin asignar</t>
        </is>
      </c>
      <c r="D24" s="8" t="inlineStr">
        <is>
          <t>Sin asignar</t>
        </is>
      </c>
      <c r="E24" s="6" t="inlineStr">
        <is>
          <t>Pendiente</t>
        </is>
      </c>
      <c r="F24" s="9" t="n"/>
      <c r="G24" s="6" t="n"/>
      <c r="H24" s="6" t="inlineStr">
        <is>
          <t>No</t>
        </is>
      </c>
      <c r="I24" s="10" t="n"/>
      <c r="J24" s="6" t="n">
        <v>1</v>
      </c>
    </row>
    <row r="25">
      <c r="A25" s="6" t="inlineStr">
        <is>
          <t>2.6</t>
        </is>
      </c>
      <c r="B25" s="7" t="inlineStr">
        <is>
          <t>Organigrama del programa/carrera</t>
        </is>
      </c>
      <c r="C25" s="8" t="inlineStr">
        <is>
          <t>Sin asignar</t>
        </is>
      </c>
      <c r="D25" s="8" t="inlineStr">
        <is>
          <t>Sin asignar</t>
        </is>
      </c>
      <c r="E25" s="6" t="inlineStr">
        <is>
          <t xml:space="preserve">Entregado</t>
        </is>
      </c>
      <c r="F25" s="9" t="n">
        <v>46307</v>
      </c>
      <c r="G25" s="6" t="inlineStr">
        <is>
          <t xml:space="preserve">Word</t>
        </is>
      </c>
      <c r="H25" s="6" t="inlineStr">
        <is>
          <t xml:space="preserve">Sí</t>
        </is>
      </c>
      <c r="I25" s="10" t="inlineStr">
        <is>
          <t xml:space="preserve">Documento Primera Parte Entrega</t>
        </is>
      </c>
      <c r="J25" s="6" t="n">
        <v>1</v>
      </c>
    </row>
    <row r="26">
      <c r="A26" s="6" t="inlineStr">
        <is>
          <t>2.7</t>
        </is>
      </c>
      <c r="B26" s="7" t="inlineStr">
        <is>
          <t>Estadísticas del programa/carrera</t>
        </is>
      </c>
      <c r="C26" s="8" t="inlineStr">
        <is>
          <t>Sin asignar</t>
        </is>
      </c>
      <c r="D26" s="8" t="inlineStr">
        <is>
          <t>Sin asignar</t>
        </is>
      </c>
      <c r="E26" s="6" t="inlineStr">
        <is>
          <t xml:space="preserve">Entregado</t>
        </is>
      </c>
      <c r="F26" s="9" t="n">
        <v>46307</v>
      </c>
      <c r="G26" s="6" t="inlineStr">
        <is>
          <t xml:space="preserve">Word</t>
        </is>
      </c>
      <c r="H26" s="6" t="inlineStr">
        <is>
          <t xml:space="preserve">Sí</t>
        </is>
      </c>
      <c r="I26" s="10" t="inlineStr">
        <is>
          <t xml:space="preserve">Documento Primera Parte Entrega</t>
        </is>
      </c>
      <c r="J26" s="6" t="n">
        <v>1</v>
      </c>
    </row>
    <row r="27">
      <c r="A27" s="3" t="inlineStr">
        <is>
          <t>3.</t>
        </is>
      </c>
      <c r="B27" s="4" t="inlineStr">
        <is>
          <t>Justificación de la innovación curricular (solo para niveles de diseño, rediseño y ajustes)</t>
        </is>
      </c>
      <c r="C27" s="4" t="inlineStr">
        <is>
          <t>Alberto Mendoza Mendoza</t>
        </is>
      </c>
      <c r="D27" s="4" t="inlineStr">
        <is>
          <t>Ayrton Javier Quisbert Fernandez</t>
        </is>
      </c>
      <c r="E27" s="3">
        <f>IF(SUMPRODUCT(($J$28:$J$32=1)*($E$28:$E$32="Entregado"))=SUMPRODUCT(($J$28:$J$32=1)*1),"Completo",IF(SUMPRODUCT(($J$28:$J$32=1)*($E$28:$E$32="Pendiente"))=SUMPRODUCT(($J$28:$J$32=1)*1),"Pendiente","En proceso"))</f>
        <v/>
      </c>
      <c r="F27" s="3">
        <f>SUMPRODUCT(($J$28:$J$32=1)*($E$28:$E$32="Entregado"))&amp;" de "&amp;SUMPRODUCT(($J$28:$J$32=1)*1)</f>
        <v/>
      </c>
      <c r="G27" s="3" t="inlineStr">
        <is>
          <t>—</t>
        </is>
      </c>
      <c r="H27" s="3" t="inlineStr">
        <is>
          <t>—</t>
        </is>
      </c>
      <c r="I27" s="5" t="inlineStr"/>
      <c r="J27" s="3" t="n">
        <v>0</v>
      </c>
    </row>
    <row r="28">
      <c r="A28" s="6" t="inlineStr">
        <is>
          <t>3.1</t>
        </is>
      </c>
      <c r="B28" s="7" t="inlineStr">
        <is>
          <t>Análisis de resultados obtenidos con anteriores planes de estudio (descripción estadística y cualitativa)</t>
        </is>
      </c>
      <c r="C28" s="8" t="inlineStr">
        <is>
          <t>Alberto Mendoza Mendoza</t>
        </is>
      </c>
      <c r="D28" s="8" t="inlineStr">
        <is>
          <t>Ayrton Javier Quisbert Fernandez</t>
        </is>
      </c>
      <c r="E28" s="6" t="inlineStr">
        <is>
          <t>Pendiente</t>
        </is>
      </c>
      <c r="F28" s="9" t="n"/>
      <c r="G28" s="6" t="n"/>
      <c r="H28" s="6" t="inlineStr">
        <is>
          <t>No</t>
        </is>
      </c>
      <c r="I28" s="10" t="n"/>
      <c r="J28" s="6" t="n">
        <v>1</v>
      </c>
    </row>
    <row r="29">
      <c r="A29" s="6" t="inlineStr">
        <is>
          <t>3.2</t>
        </is>
      </c>
      <c r="B29" s="7" t="inlineStr">
        <is>
          <t>Análisis de las políticas y normas (internacionales, nacionales y universitarias)</t>
        </is>
      </c>
      <c r="C29" s="8" t="inlineStr">
        <is>
          <t>Alberto Mendoza Mendoza</t>
        </is>
      </c>
      <c r="D29" s="8" t="inlineStr">
        <is>
          <t>Ayrton Javier Quisbert Fernandez</t>
        </is>
      </c>
      <c r="E29" s="6" t="inlineStr">
        <is>
          <t xml:space="preserve">Entregado</t>
        </is>
      </c>
      <c r="F29" s="9" t="n">
        <v>46307</v>
      </c>
      <c r="G29" s="6" t="inlineStr">
        <is>
          <t xml:space="preserve">Word</t>
        </is>
      </c>
      <c r="H29" s="6" t="inlineStr">
        <is>
          <t xml:space="preserve">Sí</t>
        </is>
      </c>
      <c r="I29" s="10" t="inlineStr">
        <is>
          <t xml:space="preserve">Documento 04 Plan de Estudios 2026</t>
        </is>
      </c>
      <c r="J29" s="6" t="n">
        <v>1</v>
      </c>
    </row>
    <row r="30">
      <c r="A30" s="6" t="inlineStr">
        <is>
          <t>3.3</t>
        </is>
      </c>
      <c r="B30" s="7" t="inlineStr">
        <is>
          <t>Análisis del contexto económico, estudio de mercado laboral e inserción laboral</t>
        </is>
      </c>
      <c r="C30" s="8" t="inlineStr">
        <is>
          <t>Alberto Mendoza Mendoza</t>
        </is>
      </c>
      <c r="D30" s="8" t="inlineStr">
        <is>
          <t>Ayrton Javier Quisbert Fernandez</t>
        </is>
      </c>
      <c r="E30" s="6" t="inlineStr">
        <is>
          <t>Pendiente</t>
        </is>
      </c>
      <c r="F30" s="9" t="n"/>
      <c r="G30" s="6" t="n"/>
      <c r="H30" s="6" t="inlineStr">
        <is>
          <t>No</t>
        </is>
      </c>
      <c r="I30" s="10" t="n"/>
      <c r="J30" s="6" t="n">
        <v>1</v>
      </c>
    </row>
    <row r="31">
      <c r="A31" s="6" t="inlineStr">
        <is>
          <t>3.4</t>
        </is>
      </c>
      <c r="B31" s="7" t="inlineStr">
        <is>
          <t>Análisis del contexto de cambios y tendencias de la ciencia y tecnología a nivel global</t>
        </is>
      </c>
      <c r="C31" s="8" t="inlineStr">
        <is>
          <t>Humberto Quintanilla Muñoz</t>
        </is>
      </c>
      <c r="D31" s="8" t="inlineStr">
        <is>
          <t>Beymar Adalid Paucara Marquez</t>
        </is>
      </c>
      <c r="E31" s="6" t="inlineStr">
        <is>
          <t>Pendiente</t>
        </is>
      </c>
      <c r="F31" s="9" t="n"/>
      <c r="G31" s="6" t="n"/>
      <c r="H31" s="6" t="inlineStr">
        <is>
          <t>No</t>
        </is>
      </c>
      <c r="I31" s="10" t="n"/>
      <c r="J31" s="6" t="n">
        <v>1</v>
      </c>
    </row>
    <row r="32">
      <c r="A32" s="6" t="inlineStr">
        <is>
          <t>3.5</t>
        </is>
      </c>
      <c r="B32" s="7" t="inlineStr">
        <is>
          <t>Contextualización de la oferta curricular en la realidad nacional e internacional</t>
        </is>
      </c>
      <c r="C32" s="8" t="inlineStr">
        <is>
          <t>Humberto Quintanilla Muñoz</t>
        </is>
      </c>
      <c r="D32" s="8" t="inlineStr">
        <is>
          <t>Beymar Adalid Paucara Marquez</t>
        </is>
      </c>
      <c r="E32" s="6" t="inlineStr">
        <is>
          <t xml:space="preserve">Entregado</t>
        </is>
      </c>
      <c r="F32" s="9" t="n">
        <v>46307</v>
      </c>
      <c r="G32" s="6" t="inlineStr">
        <is>
          <t xml:space="preserve">Word</t>
        </is>
      </c>
      <c r="H32" s="6" t="inlineStr">
        <is>
          <t xml:space="preserve">Sí</t>
        </is>
      </c>
      <c r="I32" s="10" t="inlineStr">
        <is>
          <t xml:space="preserve">Documento 04 Plan de Estudios 2026</t>
        </is>
      </c>
      <c r="J32" s="6" t="n">
        <v>1</v>
      </c>
    </row>
    <row r="33">
      <c r="A33" s="3" t="inlineStr">
        <is>
          <t>4.</t>
        </is>
      </c>
      <c r="B33" s="4" t="inlineStr">
        <is>
          <t>Aspectos académicos</t>
        </is>
      </c>
      <c r="C33" s="4" t="inlineStr">
        <is>
          <t>Freddy Huanca Mamani</t>
        </is>
      </c>
      <c r="D33" s="4" t="inlineStr">
        <is>
          <t>Katherin Fabiola Ali Quispe</t>
        </is>
      </c>
      <c r="E33" s="3">
        <f>IF(SUMPRODUCT(($J$34:$J$71=1)*($E$34:$E$71="Entregado"))=SUMPRODUCT(($J$34:$J$71=1)*1),"Completo",IF(SUMPRODUCT(($J$34:$J$71=1)*($E$34:$E$71="Pendiente"))=SUMPRODUCT(($J$34:$J$71=1)*1),"Pendiente","En proceso"))</f>
        <v/>
      </c>
      <c r="F33" s="3">
        <f>SUMPRODUCT(($J$34:$J$71=1)*($E$34:$E$71="Entregado"))&amp;" de "&amp;SUMPRODUCT(($J$34:$J$71=1)*1)</f>
        <v/>
      </c>
      <c r="G33" s="3" t="inlineStr">
        <is>
          <t>—</t>
        </is>
      </c>
      <c r="H33" s="3" t="inlineStr">
        <is>
          <t>—</t>
        </is>
      </c>
      <c r="I33" s="5" t="inlineStr"/>
      <c r="J33" s="3" t="n">
        <v>0</v>
      </c>
    </row>
    <row r="34">
      <c r="A34" s="11" t="inlineStr">
        <is>
          <t>4.1</t>
        </is>
      </c>
      <c r="B34" s="12" t="inlineStr">
        <is>
          <t>Fundamentos curriculares</t>
        </is>
      </c>
      <c r="C34" s="13" t="inlineStr">
        <is>
          <t>Freddy Huanca Mamani</t>
        </is>
      </c>
      <c r="D34" s="13" t="inlineStr">
        <is>
          <t>Katherin Fabiola Ali Quispe</t>
        </is>
      </c>
      <c r="E34" s="11">
        <f>IF(SUMPRODUCT(($J$35:$J$39=1)*($E$35:$E$39="Entregado"))=SUMPRODUCT(($J$35:$J$39=1)*1),"Completo",IF(SUMPRODUCT(($J$35:$J$39=1)*($E$35:$E$39="Pendiente"))=SUMPRODUCT(($J$35:$J$39=1)*1),"Pendiente","En proceso"))</f>
        <v/>
      </c>
      <c r="F34" s="11">
        <f>SUMPRODUCT(($J$35:$J$39=1)*($E$35:$E$39="Entregado"))&amp;" de "&amp;SUMPRODUCT(($J$35:$J$39=1)*1)</f>
        <v/>
      </c>
      <c r="G34" s="11" t="inlineStr">
        <is>
          <t>—</t>
        </is>
      </c>
      <c r="H34" s="11" t="inlineStr">
        <is>
          <t>—</t>
        </is>
      </c>
      <c r="I34" s="14" t="inlineStr"/>
      <c r="J34" s="11" t="n">
        <v>0</v>
      </c>
    </row>
    <row r="35">
      <c r="A35" s="6" t="inlineStr">
        <is>
          <t>4.1.1</t>
        </is>
      </c>
      <c r="B35" s="7" t="inlineStr">
        <is>
          <t>Fundamentos epistemológicos</t>
        </is>
      </c>
      <c r="C35" s="8" t="inlineStr">
        <is>
          <t>Freddy Huanca Mamani</t>
        </is>
      </c>
      <c r="D35" s="8" t="inlineStr">
        <is>
          <t>Katherin Fabiola Ali Quispe</t>
        </is>
      </c>
      <c r="E35" s="6" t="inlineStr">
        <is>
          <t xml:space="preserve">Entregado</t>
        </is>
      </c>
      <c r="F35" s="9" t="n">
        <v>46307</v>
      </c>
      <c r="G35" s="6" t="inlineStr">
        <is>
          <t xml:space="preserve">Word</t>
        </is>
      </c>
      <c r="H35" s="6" t="inlineStr">
        <is>
          <t xml:space="preserve">Sí</t>
        </is>
      </c>
      <c r="I35" s="10" t="inlineStr">
        <is>
          <t xml:space="preserve">Documento 04 Plan de Estudios 2026</t>
        </is>
      </c>
      <c r="J35" s="6" t="n">
        <v>1</v>
      </c>
    </row>
    <row r="36">
      <c r="A36" s="6" t="inlineStr">
        <is>
          <t>4.1.2</t>
        </is>
      </c>
      <c r="B36" s="7" t="inlineStr">
        <is>
          <t>Fundamentos sociológicos antropológicos</t>
        </is>
      </c>
      <c r="C36" s="8" t="inlineStr">
        <is>
          <t>Freddy Huanca Mamani</t>
        </is>
      </c>
      <c r="D36" s="8" t="inlineStr">
        <is>
          <t>Katherin Fabiola Ali Quispe</t>
        </is>
      </c>
      <c r="E36" s="6" t="inlineStr">
        <is>
          <t xml:space="preserve">Entregado</t>
        </is>
      </c>
      <c r="F36" s="9" t="n">
        <v>46307</v>
      </c>
      <c r="G36" s="6" t="inlineStr">
        <is>
          <t xml:space="preserve">Word</t>
        </is>
      </c>
      <c r="H36" s="6" t="inlineStr">
        <is>
          <t xml:space="preserve">Sí</t>
        </is>
      </c>
      <c r="I36" s="10" t="inlineStr">
        <is>
          <t xml:space="preserve">Documento 04 Plan de Estudios 2026</t>
        </is>
      </c>
      <c r="J36" s="6" t="n">
        <v>1</v>
      </c>
    </row>
    <row r="37">
      <c r="A37" s="6" t="inlineStr">
        <is>
          <t>4.1.3</t>
        </is>
      </c>
      <c r="B37" s="7" t="inlineStr">
        <is>
          <t>Fundamentos psicológicos</t>
        </is>
      </c>
      <c r="C37" s="8" t="inlineStr">
        <is>
          <t>Jorge Cespedes Esteves</t>
        </is>
      </c>
      <c r="D37" s="8" t="inlineStr">
        <is>
          <t>Taiz Alejandra Cano Chuyma</t>
        </is>
      </c>
      <c r="E37" s="6" t="inlineStr">
        <is>
          <t>Pendiente</t>
        </is>
      </c>
      <c r="F37" s="9" t="n"/>
      <c r="G37" s="6" t="n"/>
      <c r="H37" s="6" t="inlineStr">
        <is>
          <t>No</t>
        </is>
      </c>
      <c r="I37" s="10" t="n"/>
      <c r="J37" s="6" t="n">
        <v>1</v>
      </c>
    </row>
    <row r="38">
      <c r="A38" s="6" t="inlineStr">
        <is>
          <t>4.1.4</t>
        </is>
      </c>
      <c r="B38" s="7" t="inlineStr">
        <is>
          <t>Fundamentos educativos</t>
        </is>
      </c>
      <c r="C38" s="8" t="inlineStr">
        <is>
          <t>Jorge Cespedes Esteves</t>
        </is>
      </c>
      <c r="D38" s="8" t="inlineStr">
        <is>
          <t>Taiz Alejandra Cano Chuyma</t>
        </is>
      </c>
      <c r="E38" s="6" t="inlineStr">
        <is>
          <t xml:space="preserve">Entregado</t>
        </is>
      </c>
      <c r="F38" s="9" t="n">
        <v>46307</v>
      </c>
      <c r="G38" s="6" t="inlineStr">
        <is>
          <t xml:space="preserve">Word</t>
        </is>
      </c>
      <c r="H38" s="6" t="inlineStr">
        <is>
          <t xml:space="preserve">Sí</t>
        </is>
      </c>
      <c r="I38" s="10" t="inlineStr">
        <is>
          <t xml:space="preserve">Documento 04 Plan de Estudios 2026</t>
        </is>
      </c>
      <c r="J38" s="6" t="n">
        <v>1</v>
      </c>
    </row>
    <row r="39">
      <c r="A39" s="6" t="inlineStr">
        <is>
          <t>4.1.5</t>
        </is>
      </c>
      <c r="B39" s="7" t="inlineStr">
        <is>
          <t>Fundamentos axiológicos</t>
        </is>
      </c>
      <c r="C39" s="8" t="inlineStr">
        <is>
          <t>Jorge Cespedes Esteves</t>
        </is>
      </c>
      <c r="D39" s="8" t="inlineStr">
        <is>
          <t>Taiz Alejandra Cano Chuyma</t>
        </is>
      </c>
      <c r="E39" s="6" t="inlineStr">
        <is>
          <t xml:space="preserve">Entregado</t>
        </is>
      </c>
      <c r="F39" s="9" t="n">
        <v>46307</v>
      </c>
      <c r="G39" s="6" t="inlineStr">
        <is>
          <t xml:space="preserve">Word</t>
        </is>
      </c>
      <c r="H39" s="6" t="inlineStr">
        <is>
          <t xml:space="preserve">Sí</t>
        </is>
      </c>
      <c r="I39" s="10" t="inlineStr">
        <is>
          <t xml:space="preserve">Propuesta en Contenido extra: Valores, por confirmar; Documento 04 Plan de Estudios 2026</t>
        </is>
      </c>
      <c r="J39" s="6" t="n">
        <v>1</v>
      </c>
    </row>
    <row r="40">
      <c r="A40" s="11" t="inlineStr">
        <is>
          <t>4.2</t>
        </is>
      </c>
      <c r="B40" s="12" t="inlineStr">
        <is>
          <t>Referentes disciplinares</t>
        </is>
      </c>
      <c r="C40" s="13" t="inlineStr">
        <is>
          <t>Hinojosa</t>
        </is>
      </c>
      <c r="D40" s="13" t="inlineStr">
        <is>
          <t>Melany Sarah Chavez Condori</t>
        </is>
      </c>
      <c r="E40" s="11">
        <f>IF(SUMPRODUCT(($J$41:$J$47=1)*($E$41:$E$47="Entregado"))=SUMPRODUCT(($J$41:$J$47=1)*1),"Completo",IF(SUMPRODUCT(($J$41:$J$47=1)*($E$41:$E$47="Pendiente"))=SUMPRODUCT(($J$41:$J$47=1)*1),"Pendiente","En proceso"))</f>
        <v/>
      </c>
      <c r="F40" s="11">
        <f>SUMPRODUCT(($J$41:$J$47=1)*($E$41:$E$47="Entregado"))&amp;" de "&amp;SUMPRODUCT(($J$41:$J$47=1)*1)</f>
        <v/>
      </c>
      <c r="G40" s="11" t="inlineStr">
        <is>
          <t>—</t>
        </is>
      </c>
      <c r="H40" s="11" t="inlineStr">
        <is>
          <t>—</t>
        </is>
      </c>
      <c r="I40" s="14" t="inlineStr"/>
      <c r="J40" s="11" t="n">
        <v>0</v>
      </c>
    </row>
    <row r="41">
      <c r="A41" s="6" t="inlineStr">
        <is>
          <t>4.2.1</t>
        </is>
      </c>
      <c r="B41" s="7" t="inlineStr">
        <is>
          <t>Problemas que serán abordados por el profesional</t>
        </is>
      </c>
      <c r="C41" s="8" t="inlineStr">
        <is>
          <t>Hinojosa</t>
        </is>
      </c>
      <c r="D41" s="8" t="inlineStr">
        <is>
          <t>Melany Sarah Chavez Condori</t>
        </is>
      </c>
      <c r="E41" s="6" t="inlineStr">
        <is>
          <t>Pendiente</t>
        </is>
      </c>
      <c r="F41" s="9" t="n"/>
      <c r="G41" s="6" t="n"/>
      <c r="H41" s="6" t="inlineStr">
        <is>
          <t>No</t>
        </is>
      </c>
      <c r="I41" s="10" t="inlineStr">
        <is>
          <t>Propuesta en Contenido extra: Necesidades de formación, por confirmar</t>
        </is>
      </c>
      <c r="J41" s="6" t="n">
        <v>1</v>
      </c>
    </row>
    <row r="42">
      <c r="A42" s="6" t="inlineStr">
        <is>
          <t>4.2.2</t>
        </is>
      </c>
      <c r="B42" s="7" t="inlineStr">
        <is>
          <t>Prospectiva de la profesión</t>
        </is>
      </c>
      <c r="C42" s="8" t="inlineStr">
        <is>
          <t>Hinojosa</t>
        </is>
      </c>
      <c r="D42" s="8" t="inlineStr">
        <is>
          <t>Melany Sarah Chavez Condori</t>
        </is>
      </c>
      <c r="E42" s="6" t="inlineStr">
        <is>
          <t>Pendiente</t>
        </is>
      </c>
      <c r="F42" s="9" t="n"/>
      <c r="G42" s="6" t="n"/>
      <c r="H42" s="6" t="inlineStr">
        <is>
          <t>No</t>
        </is>
      </c>
      <c r="I42" s="10" t="inlineStr">
        <is>
          <t>Propuesta en Contenido extra: Consideraciones sobre la profesión, por confirmar</t>
        </is>
      </c>
      <c r="J42" s="6" t="n">
        <v>1</v>
      </c>
    </row>
    <row r="43">
      <c r="A43" s="6" t="inlineStr">
        <is>
          <t>4.2.3</t>
        </is>
      </c>
      <c r="B43" s="7" t="inlineStr">
        <is>
          <t>Caracterización de la práctica de la profesión (áreas de acción y funciones)</t>
        </is>
      </c>
      <c r="C43" s="8" t="inlineStr">
        <is>
          <t>Hinojosa</t>
        </is>
      </c>
      <c r="D43" s="8" t="inlineStr">
        <is>
          <t>Melany Sarah Chavez Condori</t>
        </is>
      </c>
      <c r="E43" s="6" t="inlineStr">
        <is>
          <t>Entregado</t>
        </is>
      </c>
      <c r="F43" s="9" t="n">
        <v>46306</v>
      </c>
      <c r="G43" s="6" t="inlineStr">
        <is>
          <t>Word</t>
        </is>
      </c>
      <c r="H43" s="6" t="inlineStr">
        <is>
          <t>Sí</t>
        </is>
      </c>
      <c r="I43" s="10" t="inlineStr">
        <is>
          <t xml:space="preserve">Documento Misión, Visión y Perfil Profesional 2026; también en Documento 04 Plan de Estudios 2026</t>
        </is>
      </c>
      <c r="J43" s="6" t="n">
        <v>1</v>
      </c>
    </row>
    <row r="44">
      <c r="A44" s="6" t="inlineStr">
        <is>
          <t>4.2.4</t>
        </is>
      </c>
      <c r="B44" s="7" t="inlineStr">
        <is>
          <t>Objeto de la profesión</t>
        </is>
      </c>
      <c r="C44" s="8" t="inlineStr">
        <is>
          <t>Hinojosa</t>
        </is>
      </c>
      <c r="D44" s="8" t="inlineStr">
        <is>
          <t>Melany Sarah Chavez Condori</t>
        </is>
      </c>
      <c r="E44" s="6" t="inlineStr">
        <is>
          <t>Entregado</t>
        </is>
      </c>
      <c r="F44" s="9" t="n">
        <v>46306</v>
      </c>
      <c r="G44" s="6" t="inlineStr">
        <is>
          <t>Word</t>
        </is>
      </c>
      <c r="H44" s="6" t="inlineStr">
        <is>
          <t>Sí</t>
        </is>
      </c>
      <c r="I44" s="10" t="inlineStr">
        <is>
          <t>Documento Misión, Visión y Perfil Profesional 2026</t>
        </is>
      </c>
      <c r="J44" s="6" t="n">
        <v>1</v>
      </c>
    </row>
    <row r="45">
      <c r="A45" s="6" t="inlineStr">
        <is>
          <t>4.2.5</t>
        </is>
      </c>
      <c r="B45" s="7" t="inlineStr">
        <is>
          <t>Objetivo de la profesión</t>
        </is>
      </c>
      <c r="C45" s="8" t="inlineStr">
        <is>
          <t>Hinojosa</t>
        </is>
      </c>
      <c r="D45" s="8" t="inlineStr">
        <is>
          <t>Melany Sarah Chavez Condori</t>
        </is>
      </c>
      <c r="E45" s="6" t="inlineStr">
        <is>
          <t>Entregado</t>
        </is>
      </c>
      <c r="F45" s="9" t="n">
        <v>46306</v>
      </c>
      <c r="G45" s="6" t="inlineStr">
        <is>
          <t>Word</t>
        </is>
      </c>
      <c r="H45" s="6" t="inlineStr">
        <is>
          <t>Sí</t>
        </is>
      </c>
      <c r="I45" s="10" t="inlineStr">
        <is>
          <t xml:space="preserve">Documento Misión, Visión y Perfil Profesional 2026; también en Documento 04 Plan de Estudios 2026</t>
        </is>
      </c>
      <c r="J45" s="6" t="n">
        <v>1</v>
      </c>
    </row>
    <row r="46">
      <c r="A46" s="6" t="inlineStr">
        <is>
          <t>4.2.6</t>
        </is>
      </c>
      <c r="B46" s="7" t="inlineStr">
        <is>
          <t>Competencias específicas de la profesión</t>
        </is>
      </c>
      <c r="C46" s="8" t="inlineStr">
        <is>
          <t>Hinojosa</t>
        </is>
      </c>
      <c r="D46" s="8" t="inlineStr">
        <is>
          <t>Melany Sarah Chavez Condori</t>
        </is>
      </c>
      <c r="E46" s="6" t="inlineStr">
        <is>
          <t>Entregado</t>
        </is>
      </c>
      <c r="F46" s="9" t="n">
        <v>46306</v>
      </c>
      <c r="G46" s="6" t="inlineStr">
        <is>
          <t>Word</t>
        </is>
      </c>
      <c r="H46" s="6" t="inlineStr">
        <is>
          <t>Sí</t>
        </is>
      </c>
      <c r="I46" s="10" t="inlineStr">
        <is>
          <t>Documento Misión, Visión y Perfil Profesional 2026</t>
        </is>
      </c>
      <c r="J46" s="6" t="n">
        <v>1</v>
      </c>
    </row>
    <row r="47">
      <c r="A47" s="6" t="inlineStr">
        <is>
          <t>4.2.7</t>
        </is>
      </c>
      <c r="B47" s="7" t="inlineStr">
        <is>
          <t>Perfil profesional</t>
        </is>
      </c>
      <c r="C47" s="8" t="inlineStr">
        <is>
          <t>Hinojosa</t>
        </is>
      </c>
      <c r="D47" s="8" t="inlineStr">
        <is>
          <t>Melany Sarah Chavez Condori</t>
        </is>
      </c>
      <c r="E47" s="6" t="inlineStr">
        <is>
          <t>Entregado</t>
        </is>
      </c>
      <c r="F47" s="9" t="n">
        <v>46306</v>
      </c>
      <c r="G47" s="6" t="inlineStr">
        <is>
          <t>Word</t>
        </is>
      </c>
      <c r="H47" s="6" t="inlineStr">
        <is>
          <t>Sí</t>
        </is>
      </c>
      <c r="I47" s="10" t="inlineStr">
        <is>
          <t xml:space="preserve">Documento Misión, Visión y Perfil Profesional 2026; también en Documento 04 Plan de Estudios 2026</t>
        </is>
      </c>
      <c r="J47" s="6" t="n">
        <v>1</v>
      </c>
    </row>
    <row r="48">
      <c r="A48" s="11" t="inlineStr">
        <is>
          <t>4.3</t>
        </is>
      </c>
      <c r="B48" s="12" t="inlineStr">
        <is>
          <t>Plan de estudios propuesto</t>
        </is>
      </c>
      <c r="C48" s="13" t="inlineStr">
        <is>
          <t>Mendoza Elias</t>
        </is>
      </c>
      <c r="D48" s="13" t="inlineStr">
        <is>
          <t>Gisela Leila Fernandez Cazas</t>
        </is>
      </c>
      <c r="E48" s="11">
        <f>IF(SUMPRODUCT(($J$49:$J$53=1)*($E$49:$E$53="Entregado"))=SUMPRODUCT(($J$49:$J$53=1)*1),"Completo",IF(SUMPRODUCT(($J$49:$J$53=1)*($E$49:$E$53="Pendiente"))=SUMPRODUCT(($J$49:$J$53=1)*1),"Pendiente","En proceso"))</f>
        <v/>
      </c>
      <c r="F48" s="11">
        <f>SUMPRODUCT(($J$49:$J$53=1)*($E$49:$E$53="Entregado"))&amp;" de "&amp;SUMPRODUCT(($J$49:$J$53=1)*1)</f>
        <v/>
      </c>
      <c r="G48" s="11" t="inlineStr">
        <is>
          <t>—</t>
        </is>
      </c>
      <c r="H48" s="11" t="inlineStr">
        <is>
          <t>—</t>
        </is>
      </c>
      <c r="I48" s="14" t="inlineStr"/>
      <c r="J48" s="11" t="n">
        <v>0</v>
      </c>
    </row>
    <row r="49">
      <c r="A49" s="6" t="inlineStr">
        <is>
          <t>4.3.1</t>
        </is>
      </c>
      <c r="B49" s="7" t="inlineStr">
        <is>
          <t>Modelo curricular</t>
        </is>
      </c>
      <c r="C49" s="8" t="inlineStr">
        <is>
          <t>Mendoza Elias</t>
        </is>
      </c>
      <c r="D49" s="8" t="inlineStr">
        <is>
          <t>Gisela Leila Fernandez Cazas</t>
        </is>
      </c>
      <c r="E49" s="6" t="inlineStr">
        <is>
          <t xml:space="preserve">Entregado</t>
        </is>
      </c>
      <c r="F49" s="9" t="n">
        <v>46307</v>
      </c>
      <c r="G49" s="6" t="inlineStr">
        <is>
          <t xml:space="preserve">Word</t>
        </is>
      </c>
      <c r="H49" s="6" t="inlineStr">
        <is>
          <t xml:space="preserve">Sí</t>
        </is>
      </c>
      <c r="I49" s="10" t="inlineStr">
        <is>
          <t xml:space="preserve">Plan de Estudios Propuesto para comisión v.2</t>
        </is>
      </c>
      <c r="J49" s="6" t="n">
        <v>1</v>
      </c>
    </row>
    <row r="50">
      <c r="A50" s="6" t="inlineStr">
        <is>
          <t>4.3.2</t>
        </is>
      </c>
      <c r="B50" s="7" t="inlineStr">
        <is>
          <t>Principios del modelo</t>
        </is>
      </c>
      <c r="C50" s="8" t="inlineStr">
        <is>
          <t>Mendoza Elias</t>
        </is>
      </c>
      <c r="D50" s="8" t="inlineStr">
        <is>
          <t>Gisela Leila Fernandez Cazas</t>
        </is>
      </c>
      <c r="E50" s="6" t="inlineStr">
        <is>
          <t xml:space="preserve">Entregado</t>
        </is>
      </c>
      <c r="F50" s="9" t="n">
        <v>46307</v>
      </c>
      <c r="G50" s="6" t="inlineStr">
        <is>
          <t xml:space="preserve">Word</t>
        </is>
      </c>
      <c r="H50" s="6" t="inlineStr">
        <is>
          <t xml:space="preserve">Sí</t>
        </is>
      </c>
      <c r="I50" s="10" t="inlineStr">
        <is>
          <t xml:space="preserve">Plan de Estudios Propuesto para comisión v.2</t>
        </is>
      </c>
      <c r="J50" s="6" t="n">
        <v>1</v>
      </c>
    </row>
    <row r="51">
      <c r="A51" s="6" t="inlineStr">
        <is>
          <t>4.3.3</t>
        </is>
      </c>
      <c r="B51" s="7" t="inlineStr">
        <is>
          <t>Objetivo general del diseño, rediseño o ajuste</t>
        </is>
      </c>
      <c r="C51" s="8" t="inlineStr">
        <is>
          <t>Madeny</t>
        </is>
      </c>
      <c r="D51" s="8" t="inlineStr">
        <is>
          <t>Melisa Canaviri</t>
        </is>
      </c>
      <c r="E51" s="6" t="inlineStr">
        <is>
          <t xml:space="preserve">Entregado</t>
        </is>
      </c>
      <c r="F51" s="9" t="n">
        <v>46307</v>
      </c>
      <c r="G51" s="6" t="inlineStr">
        <is>
          <t xml:space="preserve">Word</t>
        </is>
      </c>
      <c r="H51" s="6" t="inlineStr">
        <is>
          <t xml:space="preserve">Sí</t>
        </is>
      </c>
      <c r="I51" s="10" t="inlineStr">
        <is>
          <t xml:space="preserve">Documento 04 Plan de Estudios 2026; también en Plan de Estudios Propuesto para comisión v.2 (elegir versión)</t>
        </is>
      </c>
      <c r="J51" s="6" t="n">
        <v>1</v>
      </c>
    </row>
    <row r="52">
      <c r="A52" s="6" t="inlineStr">
        <is>
          <t>4.3.4</t>
        </is>
      </c>
      <c r="B52" s="7" t="inlineStr">
        <is>
          <t>Objetivos específicos del diseño, rediseño o ajuste</t>
        </is>
      </c>
      <c r="C52" s="8" t="inlineStr">
        <is>
          <t>Madeny</t>
        </is>
      </c>
      <c r="D52" s="8" t="inlineStr">
        <is>
          <t>Melisa Canaviri</t>
        </is>
      </c>
      <c r="E52" s="6" t="inlineStr">
        <is>
          <t xml:space="preserve">Entregado</t>
        </is>
      </c>
      <c r="F52" s="9" t="n">
        <v>46307</v>
      </c>
      <c r="G52" s="6" t="inlineStr">
        <is>
          <t xml:space="preserve">Word</t>
        </is>
      </c>
      <c r="H52" s="6" t="inlineStr">
        <is>
          <t xml:space="preserve">Sí</t>
        </is>
      </c>
      <c r="I52" s="10" t="inlineStr">
        <is>
          <t xml:space="preserve">Documento 04 Plan de Estudios 2026; también en Plan de Estudios Propuesto para comisión v.2 (elegir versión)</t>
        </is>
      </c>
      <c r="J52" s="6" t="n">
        <v>1</v>
      </c>
    </row>
    <row r="53">
      <c r="A53" s="6" t="inlineStr">
        <is>
          <t>4.3.5</t>
        </is>
      </c>
      <c r="B53" s="7" t="inlineStr">
        <is>
          <t>Duración de la carrera en años o semestres</t>
        </is>
      </c>
      <c r="C53" s="8" t="inlineStr">
        <is>
          <t>Madeny</t>
        </is>
      </c>
      <c r="D53" s="8" t="inlineStr">
        <is>
          <t>Melisa Canaviri</t>
        </is>
      </c>
      <c r="E53" s="6" t="inlineStr">
        <is>
          <t xml:space="preserve">Entregado</t>
        </is>
      </c>
      <c r="F53" s="9" t="n">
        <v>46307</v>
      </c>
      <c r="G53" s="6" t="inlineStr">
        <is>
          <t xml:space="preserve">Word</t>
        </is>
      </c>
      <c r="H53" s="6" t="inlineStr">
        <is>
          <t xml:space="preserve">Sí</t>
        </is>
      </c>
      <c r="I53" s="10" t="inlineStr">
        <is>
          <t xml:space="preserve">Plan de Estudios Propuesto para comisión v.2</t>
        </is>
      </c>
      <c r="J53" s="6" t="n">
        <v>1</v>
      </c>
    </row>
    <row r="54">
      <c r="A54" s="11" t="inlineStr">
        <is>
          <t>4.4</t>
        </is>
      </c>
      <c r="B54" s="12" t="inlineStr">
        <is>
          <t>Estructura curricular</t>
        </is>
      </c>
      <c r="C54" s="13" t="inlineStr">
        <is>
          <t>Comisión Supra</t>
        </is>
      </c>
      <c r="D54" s="13" t="inlineStr">
        <is>
          <t>Comisión Supra</t>
        </is>
      </c>
      <c r="E54" s="11">
        <f>IF(SUMPRODUCT(($J$55:$J$58=1)*($E$55:$E$58="Entregado"))=SUMPRODUCT(($J$55:$J$58=1)*1),"Completo",IF(SUMPRODUCT(($J$55:$J$58=1)*($E$55:$E$58="Pendiente"))=SUMPRODUCT(($J$55:$J$58=1)*1),"Pendiente","En proceso"))</f>
        <v/>
      </c>
      <c r="F54" s="11">
        <f>SUMPRODUCT(($J$55:$J$58=1)*($E$55:$E$58="Entregado"))&amp;" de "&amp;SUMPRODUCT(($J$55:$J$58=1)*1)</f>
        <v/>
      </c>
      <c r="G54" s="11" t="inlineStr">
        <is>
          <t>—</t>
        </is>
      </c>
      <c r="H54" s="11" t="inlineStr">
        <is>
          <t>—</t>
        </is>
      </c>
      <c r="I54" s="14" t="inlineStr"/>
      <c r="J54" s="11" t="n">
        <v>0</v>
      </c>
    </row>
    <row r="55">
      <c r="A55" s="6" t="inlineStr">
        <is>
          <t>4.4.1</t>
        </is>
      </c>
      <c r="B55" s="7" t="inlineStr">
        <is>
          <t>Descripción de la organización curricular (organización de la asignatura por áreas o ejes de conocimiento)</t>
        </is>
      </c>
      <c r="C55" s="8" t="inlineStr">
        <is>
          <t>Comisión Supra</t>
        </is>
      </c>
      <c r="D55" s="8" t="inlineStr">
        <is>
          <t>Comisión Supra</t>
        </is>
      </c>
      <c r="E55" s="6" t="inlineStr">
        <is>
          <t xml:space="preserve">Entregado</t>
        </is>
      </c>
      <c r="F55" s="9" t="n">
        <v>46307</v>
      </c>
      <c r="G55" s="6" t="inlineStr">
        <is>
          <t xml:space="preserve">Word</t>
        </is>
      </c>
      <c r="H55" s="6" t="inlineStr">
        <is>
          <t xml:space="preserve">Sí</t>
        </is>
      </c>
      <c r="I55" s="10" t="inlineStr">
        <is>
          <t xml:space="preserve">Documento 04 Plan de Estudios 2026</t>
        </is>
      </c>
      <c r="J55" s="6" t="n">
        <v>1</v>
      </c>
    </row>
    <row r="56">
      <c r="A56" s="6" t="inlineStr">
        <is>
          <t>4.4.2</t>
        </is>
      </c>
      <c r="B56" s="7" t="inlineStr">
        <is>
          <t>Mapa de competencia (competencia y unidades de competencia)</t>
        </is>
      </c>
      <c r="C56" s="8" t="inlineStr">
        <is>
          <t>Comisión Supra</t>
        </is>
      </c>
      <c r="D56" s="8" t="inlineStr">
        <is>
          <t>Comisión Supra</t>
        </is>
      </c>
      <c r="E56" s="6" t="inlineStr">
        <is>
          <t xml:space="preserve">Entregado</t>
        </is>
      </c>
      <c r="F56" s="9" t="n">
        <v>46307</v>
      </c>
      <c r="G56" s="6" t="inlineStr">
        <is>
          <t xml:space="preserve">Word</t>
        </is>
      </c>
      <c r="H56" s="6" t="inlineStr">
        <is>
          <t xml:space="preserve">Sí</t>
        </is>
      </c>
      <c r="I56" s="10" t="inlineStr">
        <is>
          <t xml:space="preserve">Documento 04 Plan de Estudios 2026</t>
        </is>
      </c>
      <c r="J56" s="6" t="n">
        <v>1</v>
      </c>
    </row>
    <row r="57">
      <c r="A57" s="6" t="inlineStr">
        <is>
          <t>4.4.3</t>
        </is>
      </c>
      <c r="B57" s="7" t="inlineStr">
        <is>
          <t>Malla curricular (siglas, nombres de la asignatura, carga horaria, créditos, prerrequisitos) por ciclos y semestres/año</t>
        </is>
      </c>
      <c r="C57" s="8" t="inlineStr">
        <is>
          <t>Comisión Supra</t>
        </is>
      </c>
      <c r="D57" s="8" t="inlineStr">
        <is>
          <t>Comisión Supra</t>
        </is>
      </c>
      <c r="E57" s="6" t="inlineStr">
        <is>
          <t xml:space="preserve">Entregado</t>
        </is>
      </c>
      <c r="F57" s="9" t="n">
        <v>46307</v>
      </c>
      <c r="G57" s="6" t="inlineStr">
        <is>
          <t xml:space="preserve">Word</t>
        </is>
      </c>
      <c r="H57" s="6" t="inlineStr">
        <is>
          <t xml:space="preserve">Sí</t>
        </is>
      </c>
      <c r="I57" s="10" t="inlineStr">
        <is>
          <t xml:space="preserve">Documento 04 Plan de Estudios 2026</t>
        </is>
      </c>
      <c r="J57" s="6" t="n">
        <v>1</v>
      </c>
    </row>
    <row r="58">
      <c r="A58" s="6" t="inlineStr">
        <is>
          <t>4.4.4</t>
        </is>
      </c>
      <c r="B58" s="7" t="inlineStr">
        <is>
          <t>Cuadro de asignación de cargas horarias presenciales, no presenciales, (según formato)</t>
        </is>
      </c>
      <c r="C58" s="8" t="inlineStr">
        <is>
          <t>Comisión Supra</t>
        </is>
      </c>
      <c r="D58" s="8" t="inlineStr">
        <is>
          <t>Comisión Supra</t>
        </is>
      </c>
      <c r="E58" s="6" t="inlineStr">
        <is>
          <t xml:space="preserve">Entregado</t>
        </is>
      </c>
      <c r="F58" s="9" t="n">
        <v>46307</v>
      </c>
      <c r="G58" s="6" t="inlineStr">
        <is>
          <t xml:space="preserve">Word</t>
        </is>
      </c>
      <c r="H58" s="6" t="inlineStr">
        <is>
          <t xml:space="preserve">Sí</t>
        </is>
      </c>
      <c r="I58" s="10" t="inlineStr">
        <is>
          <t xml:space="preserve">Documento 04 Plan de Estudios 2026</t>
        </is>
      </c>
      <c r="J58" s="6" t="n">
        <v>1</v>
      </c>
    </row>
    <row r="59">
      <c r="A59" s="11" t="inlineStr">
        <is>
          <t>4.5</t>
        </is>
      </c>
      <c r="B59" s="12" t="inlineStr">
        <is>
          <t>Planes de asignatura (descripción de la asignatura)</t>
        </is>
      </c>
      <c r="C59" s="13" t="inlineStr">
        <is>
          <t>Subcomisiones por área</t>
        </is>
      </c>
      <c r="D59" s="13" t="inlineStr">
        <is>
          <t>Subcomisiones por área</t>
        </is>
      </c>
      <c r="E59" s="11">
        <f>IF(SUMPRODUCT(($J$60:$J$68=1)*($E$60:$E$68="Entregado"))=SUMPRODUCT(($J$60:$J$68=1)*1),"Completo",IF(SUMPRODUCT(($J$60:$J$68=1)*($E$60:$E$68="Pendiente"))=SUMPRODUCT(($J$60:$J$68=1)*1),"Pendiente","En proceso"))</f>
        <v/>
      </c>
      <c r="F59" s="11">
        <f>SUMPRODUCT(($J$60:$J$68=1)*($E$60:$E$68="Entregado"))&amp;" de "&amp;SUMPRODUCT(($J$60:$J$68=1)*1)</f>
        <v/>
      </c>
      <c r="G59" s="11" t="inlineStr">
        <is>
          <t>—</t>
        </is>
      </c>
      <c r="H59" s="11" t="inlineStr">
        <is>
          <t>—</t>
        </is>
      </c>
      <c r="I59" s="14" t="inlineStr"/>
      <c r="J59" s="11" t="n">
        <v>0</v>
      </c>
    </row>
    <row r="60">
      <c r="A60" s="6" t="inlineStr">
        <is>
          <t>4.5-a</t>
        </is>
      </c>
      <c r="B60" s="7" t="inlineStr">
        <is>
          <t>Subcomisión Información Financiera General</t>
        </is>
      </c>
      <c r="C60" s="8" t="inlineStr">
        <is>
          <t>Gonzalo Terán Gandarillas / Edwin Gutiérrez Zapana</t>
        </is>
      </c>
      <c r="D60" s="8" t="inlineStr">
        <is>
          <t>Jose David Huanca Callizaya / Elva Danitza Cachaga Alanoca</t>
        </is>
      </c>
      <c r="E60" s="6" t="inlineStr">
        <is>
          <t>Pendiente</t>
        </is>
      </c>
      <c r="F60" s="9" t="n"/>
      <c r="G60" s="6" t="n"/>
      <c r="H60" s="6" t="inlineStr">
        <is>
          <t>No</t>
        </is>
      </c>
      <c r="I60" s="10" t="n"/>
      <c r="J60" s="6" t="n">
        <v>1</v>
      </c>
    </row>
    <row r="61">
      <c r="A61" s="6" t="inlineStr">
        <is>
          <t>4.5-b</t>
        </is>
      </c>
      <c r="B61" s="7" t="inlineStr">
        <is>
          <t>Subcomisión Información Financiera Especializada</t>
        </is>
      </c>
      <c r="C61" s="8" t="inlineStr">
        <is>
          <t>Edith Esther López Mamani / Guido Rogelio Yujra Segales</t>
        </is>
      </c>
      <c r="D61" s="8" t="inlineStr">
        <is>
          <t>Leonardo Fabio Oblitas Flores / Marco Marcelo Escobar Bozo</t>
        </is>
      </c>
      <c r="E61" s="6" t="inlineStr">
        <is>
          <t>Pendiente</t>
        </is>
      </c>
      <c r="F61" s="9" t="n"/>
      <c r="G61" s="6" t="n"/>
      <c r="H61" s="6" t="inlineStr">
        <is>
          <t>No</t>
        </is>
      </c>
      <c r="I61" s="10" t="n"/>
      <c r="J61" s="6" t="n">
        <v>1</v>
      </c>
    </row>
    <row r="62">
      <c r="A62" s="6" t="inlineStr">
        <is>
          <t>4.5-c</t>
        </is>
      </c>
      <c r="B62" s="7" t="inlineStr">
        <is>
          <t>Subcomisión Servicios de Aseguramiento y No Aseguramiento</t>
        </is>
      </c>
      <c r="C62" s="8" t="inlineStr">
        <is>
          <t>Martin Calani / Víctor Delfín Pelaez Mariscal</t>
        </is>
      </c>
      <c r="D62" s="8" t="inlineStr">
        <is>
          <t>Valery Tatiana Chuquimia Rojas / Rocio del Alba Flores Colque</t>
        </is>
      </c>
      <c r="E62" s="6" t="inlineStr">
        <is>
          <t>Pendiente</t>
        </is>
      </c>
      <c r="F62" s="9" t="n"/>
      <c r="G62" s="6" t="n"/>
      <c r="H62" s="6" t="inlineStr">
        <is>
          <t>No</t>
        </is>
      </c>
      <c r="I62" s="10" t="n"/>
      <c r="J62" s="6" t="n">
        <v>1</v>
      </c>
    </row>
    <row r="63">
      <c r="A63" s="6" t="inlineStr">
        <is>
          <t>4.5-d</t>
        </is>
      </c>
      <c r="B63" s="7" t="inlineStr">
        <is>
          <t>Subcomisión Sistemas</t>
        </is>
      </c>
      <c r="C63" s="8" t="inlineStr">
        <is>
          <t>Juan Carlos Lea Plaza Lopez / Miguel Cotaña Mier</t>
        </is>
      </c>
      <c r="D63" s="8" t="inlineStr">
        <is>
          <t>Pillco Yana Camila / Zambrana Barrionuevo Jheferson</t>
        </is>
      </c>
      <c r="E63" s="6" t="inlineStr">
        <is>
          <t>Pendiente</t>
        </is>
      </c>
      <c r="F63" s="9" t="n"/>
      <c r="G63" s="6" t="n"/>
      <c r="H63" s="6" t="inlineStr">
        <is>
          <t>No</t>
        </is>
      </c>
      <c r="I63" s="10" t="n"/>
      <c r="J63" s="6" t="n">
        <v>1</v>
      </c>
    </row>
    <row r="64">
      <c r="A64" s="6" t="inlineStr">
        <is>
          <t>4.5-e</t>
        </is>
      </c>
      <c r="B64" s="7" t="inlineStr">
        <is>
          <t>Subcomisión Administración</t>
        </is>
      </c>
      <c r="C64" s="8" t="inlineStr">
        <is>
          <t>Juan Carlos Sánchez Bolaños / Orlando Alfato</t>
        </is>
      </c>
      <c r="D64" s="8" t="inlineStr">
        <is>
          <t>Luz Alejandra Chavez Conde / Nicol Tatiana Cornejo Choque</t>
        </is>
      </c>
      <c r="E64" s="6" t="inlineStr">
        <is>
          <t>Pendiente</t>
        </is>
      </c>
      <c r="F64" s="9" t="n"/>
      <c r="G64" s="6" t="n"/>
      <c r="H64" s="6" t="inlineStr">
        <is>
          <t>No</t>
        </is>
      </c>
      <c r="I64" s="10" t="n"/>
      <c r="J64" s="6" t="n">
        <v>1</v>
      </c>
    </row>
    <row r="65">
      <c r="A65" s="6" t="inlineStr">
        <is>
          <t>4.5-f</t>
        </is>
      </c>
      <c r="B65" s="7" t="inlineStr">
        <is>
          <t>Subcomisión Derecho</t>
        </is>
      </c>
      <c r="C65" s="8" t="inlineStr">
        <is>
          <t>Walter Marcelo Torrez Quispe / Ricardo Ramiro Tola Fernández</t>
        </is>
      </c>
      <c r="D65" s="8" t="inlineStr">
        <is>
          <t>Anthony Alexander Espinoza Gutierrez / Fernanda Camila Gonzales Quispe</t>
        </is>
      </c>
      <c r="E65" s="6" t="inlineStr">
        <is>
          <t>Pendiente</t>
        </is>
      </c>
      <c r="F65" s="9" t="n"/>
      <c r="G65" s="6" t="n"/>
      <c r="H65" s="6" t="inlineStr">
        <is>
          <t>No</t>
        </is>
      </c>
      <c r="I65" s="10" t="n"/>
      <c r="J65" s="6" t="n">
        <v>1</v>
      </c>
    </row>
    <row r="66">
      <c r="A66" s="6" t="inlineStr">
        <is>
          <t>4.5-g</t>
        </is>
      </c>
      <c r="B66" s="7" t="inlineStr">
        <is>
          <t>Subcomisión Economía</t>
        </is>
      </c>
      <c r="C66" s="8" t="inlineStr">
        <is>
          <t>Luis Medina Rivero / Espejo Davalos Juvenal</t>
        </is>
      </c>
      <c r="D66" s="8" t="inlineStr">
        <is>
          <t>Carla Isabel Huiza Callisaya / Jhamil Sander Quispe Mamani</t>
        </is>
      </c>
      <c r="E66" s="6" t="inlineStr">
        <is>
          <t>Pendiente</t>
        </is>
      </c>
      <c r="F66" s="9" t="n"/>
      <c r="G66" s="6" t="n"/>
      <c r="H66" s="6" t="inlineStr">
        <is>
          <t>No</t>
        </is>
      </c>
      <c r="I66" s="10" t="n"/>
      <c r="J66" s="6" t="n">
        <v>1</v>
      </c>
    </row>
    <row r="67">
      <c r="A67" s="6" t="inlineStr">
        <is>
          <t>4.5-h</t>
        </is>
      </c>
      <c r="B67" s="7" t="inlineStr">
        <is>
          <t>Subcomisión Metodología de la Investigación</t>
        </is>
      </c>
      <c r="C67" s="8" t="inlineStr">
        <is>
          <t>Sigfrido Ariel Burgoa Cortez / Jorge Cespedes Esteves</t>
        </is>
      </c>
      <c r="D67" s="8" t="inlineStr">
        <is>
          <t>Taiz Alejandra Cano Chuyma</t>
        </is>
      </c>
      <c r="E67" s="6" t="inlineStr">
        <is>
          <t>Pendiente</t>
        </is>
      </c>
      <c r="F67" s="9" t="n"/>
      <c r="G67" s="6" t="n"/>
      <c r="H67" s="6" t="inlineStr">
        <is>
          <t>No</t>
        </is>
      </c>
      <c r="I67" s="10" t="n"/>
      <c r="J67" s="6" t="n">
        <v>1</v>
      </c>
    </row>
    <row r="68">
      <c r="A68" s="6" t="inlineStr">
        <is>
          <t>4.5-i</t>
        </is>
      </c>
      <c r="B68" s="7" t="inlineStr">
        <is>
          <t>Subcomisión Matemática</t>
        </is>
      </c>
      <c r="C68" s="8" t="inlineStr">
        <is>
          <t>Darío David Yujra Crespo / Domingo Julio Pérez Centellas</t>
        </is>
      </c>
      <c r="D68" s="8" t="inlineStr">
        <is>
          <t>Eileen Juarez Flores / Jaime Andres Patty Lazcano</t>
        </is>
      </c>
      <c r="E68" s="6" t="inlineStr">
        <is>
          <t>Pendiente</t>
        </is>
      </c>
      <c r="F68" s="9" t="n"/>
      <c r="G68" s="6" t="n"/>
      <c r="H68" s="6" t="inlineStr">
        <is>
          <t>No</t>
        </is>
      </c>
      <c r="I68" s="10" t="n"/>
      <c r="J68" s="6" t="n">
        <v>1</v>
      </c>
    </row>
    <row r="69">
      <c r="A69" s="15" t="inlineStr">
        <is>
          <t>4.6</t>
        </is>
      </c>
      <c r="B69" s="16" t="inlineStr">
        <is>
          <t>Estrategias de aprendizaje y estrategias de enseñanza (estrategias, métodos, tipos, recursos)</t>
        </is>
      </c>
      <c r="C69" s="17" t="inlineStr">
        <is>
          <t>Sin asignar</t>
        </is>
      </c>
      <c r="D69" s="17" t="inlineStr">
        <is>
          <t>Sin asignar</t>
        </is>
      </c>
      <c r="E69" s="15" t="inlineStr">
        <is>
          <t>Pendiente</t>
        </is>
      </c>
      <c r="F69" s="18" t="n"/>
      <c r="G69" s="15" t="n"/>
      <c r="H69" s="15" t="inlineStr">
        <is>
          <t>No</t>
        </is>
      </c>
      <c r="I69" s="19" t="n"/>
      <c r="J69" s="15" t="n">
        <v>1</v>
      </c>
    </row>
    <row r="70">
      <c r="A70" s="15" t="inlineStr">
        <is>
          <t>4.7</t>
        </is>
      </c>
      <c r="B70" s="16" t="inlineStr">
        <is>
          <t>Evaluación de aprendizajes (estrategias, métodos, tipos, procedimientos, instrumentos y pruebas a desarrollar)</t>
        </is>
      </c>
      <c r="C70" s="17" t="inlineStr">
        <is>
          <t>Sin asignar</t>
        </is>
      </c>
      <c r="D70" s="17" t="inlineStr">
        <is>
          <t>Sin asignar</t>
        </is>
      </c>
      <c r="E70" s="15" t="inlineStr">
        <is>
          <t xml:space="preserve">Entregado</t>
        </is>
      </c>
      <c r="F70" s="9" t="n">
        <v>46307</v>
      </c>
      <c r="G70" s="15" t="inlineStr">
        <is>
          <t xml:space="preserve">Word</t>
        </is>
      </c>
      <c r="H70" s="15" t="inlineStr">
        <is>
          <t xml:space="preserve">Sí</t>
        </is>
      </c>
      <c r="I70" s="19" t="inlineStr">
        <is>
          <t xml:space="preserve">Documento 04 Plan de Estudios 2026</t>
        </is>
      </c>
      <c r="J70" s="15" t="n">
        <v>1</v>
      </c>
    </row>
    <row r="71">
      <c r="A71" s="15" t="inlineStr">
        <is>
          <t>4.8</t>
        </is>
      </c>
      <c r="B71" s="16" t="inlineStr">
        <is>
          <t>Prácticas preprofesionales</t>
        </is>
      </c>
      <c r="C71" s="17" t="inlineStr">
        <is>
          <t>Sin asignar</t>
        </is>
      </c>
      <c r="D71" s="17" t="inlineStr">
        <is>
          <t>Sin asignar</t>
        </is>
      </c>
      <c r="E71" s="15" t="inlineStr">
        <is>
          <t>Pendiente</t>
        </is>
      </c>
      <c r="F71" s="18" t="n"/>
      <c r="G71" s="15" t="n"/>
      <c r="H71" s="15" t="inlineStr">
        <is>
          <t>No</t>
        </is>
      </c>
      <c r="I71" s="19" t="n"/>
      <c r="J71" s="15" t="n">
        <v>1</v>
      </c>
    </row>
    <row r="72">
      <c r="A72" s="3" t="inlineStr">
        <is>
          <t>5.</t>
        </is>
      </c>
      <c r="B72" s="4" t="inlineStr">
        <is>
          <t>Admisión, promoción y graduación</t>
        </is>
      </c>
      <c r="C72" s="4" t="inlineStr">
        <is>
          <t>Daniel Laura Choque</t>
        </is>
      </c>
      <c r="D72" s="4" t="inlineStr">
        <is>
          <t>Sandra Alison Maidana Mamani</t>
        </is>
      </c>
      <c r="E72" s="3">
        <f>IF(SUMPRODUCT(($J$73:$J$76=1)*($E$73:$E$76="Entregado"))=SUMPRODUCT(($J$73:$J$76=1)*1),"Completo",IF(SUMPRODUCT(($J$73:$J$76=1)*($E$73:$E$76="Pendiente"))=SUMPRODUCT(($J$73:$J$76=1)*1),"Pendiente","En proceso"))</f>
        <v/>
      </c>
      <c r="F72" s="3">
        <f>SUMPRODUCT(($J$73:$J$76=1)*($E$73:$E$76="Entregado"))&amp;" de "&amp;SUMPRODUCT(($J$73:$J$76=1)*1)</f>
        <v/>
      </c>
      <c r="G72" s="3" t="inlineStr">
        <is>
          <t>—</t>
        </is>
      </c>
      <c r="H72" s="3" t="inlineStr">
        <is>
          <t>—</t>
        </is>
      </c>
      <c r="I72" s="5" t="inlineStr"/>
      <c r="J72" s="3" t="n">
        <v>0</v>
      </c>
    </row>
    <row r="73">
      <c r="A73" s="6" t="inlineStr">
        <is>
          <t>5.1</t>
        </is>
      </c>
      <c r="B73" s="7" t="inlineStr">
        <is>
          <t>Perfil del postulante</t>
        </is>
      </c>
      <c r="C73" s="8" t="inlineStr">
        <is>
          <t>Daniel Laura Choque</t>
        </is>
      </c>
      <c r="D73" s="8" t="inlineStr">
        <is>
          <t>Sandra Alison Maidana Mamani</t>
        </is>
      </c>
      <c r="E73" s="6" t="inlineStr">
        <is>
          <t xml:space="preserve">Entregado</t>
        </is>
      </c>
      <c r="F73" s="9" t="n">
        <v>46307</v>
      </c>
      <c r="G73" s="6" t="inlineStr">
        <is>
          <t xml:space="preserve">Word</t>
        </is>
      </c>
      <c r="H73" s="6" t="inlineStr">
        <is>
          <t xml:space="preserve">Sí</t>
        </is>
      </c>
      <c r="I73" s="10" t="inlineStr">
        <is>
          <t xml:space="preserve">Documento 04 Plan de Estudios 2026</t>
        </is>
      </c>
      <c r="J73" s="6" t="n">
        <v>1</v>
      </c>
    </row>
    <row r="74">
      <c r="A74" s="6" t="inlineStr">
        <is>
          <t>5.2</t>
        </is>
      </c>
      <c r="B74" s="7" t="inlineStr">
        <is>
          <t>Modalidades de admisión</t>
        </is>
      </c>
      <c r="C74" s="8" t="inlineStr">
        <is>
          <t>Daniel Laura Choque</t>
        </is>
      </c>
      <c r="D74" s="8" t="inlineStr">
        <is>
          <t>Sandra Alison Maidana Mamani</t>
        </is>
      </c>
      <c r="E74" s="6" t="inlineStr">
        <is>
          <t xml:space="preserve">Entregado</t>
        </is>
      </c>
      <c r="F74" s="9" t="n">
        <v>46307</v>
      </c>
      <c r="G74" s="6" t="inlineStr">
        <is>
          <t xml:space="preserve">Word</t>
        </is>
      </c>
      <c r="H74" s="6" t="inlineStr">
        <is>
          <t xml:space="preserve">Sí</t>
        </is>
      </c>
      <c r="I74" s="10" t="inlineStr">
        <is>
          <t xml:space="preserve">Documento 04 Plan de Estudios 2026</t>
        </is>
      </c>
      <c r="J74" s="6" t="n">
        <v>1</v>
      </c>
    </row>
    <row r="75">
      <c r="A75" s="6" t="inlineStr">
        <is>
          <t>5.3</t>
        </is>
      </c>
      <c r="B75" s="7" t="inlineStr">
        <is>
          <t>Condiciones de permanencia, licencias, suspensiones, plazo máximo de reincorporación, abandono, etc.</t>
        </is>
      </c>
      <c r="C75" s="8" t="inlineStr">
        <is>
          <t>Jorge Ordoñez Oporto</t>
        </is>
      </c>
      <c r="D75" s="8" t="inlineStr">
        <is>
          <t>Josue Pilco Tito</t>
        </is>
      </c>
      <c r="E75" s="6" t="inlineStr">
        <is>
          <t xml:space="preserve">Entregado</t>
        </is>
      </c>
      <c r="F75" s="9" t="n">
        <v>46307</v>
      </c>
      <c r="G75" s="6" t="inlineStr">
        <is>
          <t xml:space="preserve">Word</t>
        </is>
      </c>
      <c r="H75" s="6" t="inlineStr">
        <is>
          <t xml:space="preserve">Sí</t>
        </is>
      </c>
      <c r="I75" s="10" t="inlineStr">
        <is>
          <t xml:space="preserve">Documento 04 Plan de Estudios 2026</t>
        </is>
      </c>
      <c r="J75" s="6" t="n">
        <v>1</v>
      </c>
    </row>
    <row r="76">
      <c r="A76" s="6" t="inlineStr">
        <is>
          <t>5.4</t>
        </is>
      </c>
      <c r="B76" s="7" t="inlineStr">
        <is>
          <t>Modalidades de graduación</t>
        </is>
      </c>
      <c r="C76" s="8" t="inlineStr">
        <is>
          <t>Jorge Ordoñez Oporto</t>
        </is>
      </c>
      <c r="D76" s="8" t="inlineStr">
        <is>
          <t>Josue Pilco Tito</t>
        </is>
      </c>
      <c r="E76" s="6" t="inlineStr">
        <is>
          <t xml:space="preserve">Entregado</t>
        </is>
      </c>
      <c r="F76" s="9" t="n">
        <v>46307</v>
      </c>
      <c r="G76" s="6" t="inlineStr">
        <is>
          <t xml:space="preserve">Word</t>
        </is>
      </c>
      <c r="H76" s="6" t="inlineStr">
        <is>
          <t xml:space="preserve">Sí</t>
        </is>
      </c>
      <c r="I76" s="10" t="inlineStr">
        <is>
          <t xml:space="preserve">Documento 04 Plan de Estudios 2026</t>
        </is>
      </c>
      <c r="J76" s="6" t="n">
        <v>1</v>
      </c>
    </row>
    <row r="77">
      <c r="A77" s="3" t="inlineStr">
        <is>
          <t>6.</t>
        </is>
      </c>
      <c r="B77" s="4" t="inlineStr">
        <is>
          <t>Investigación (articulada con los institutos o unidades de investigación relacionados con la carrera/programa)</t>
        </is>
      </c>
      <c r="C77" s="4" t="inlineStr">
        <is>
          <t>Jorge Cespedes Esteves</t>
        </is>
      </c>
      <c r="D77" s="4" t="inlineStr">
        <is>
          <t>Gustavo Adolfo Aguilar Huanca</t>
        </is>
      </c>
      <c r="E77" s="3">
        <f>IF(SUMPRODUCT(($J$78:$J$79=1)*($E$78:$E$79="Entregado"))=SUMPRODUCT(($J$78:$J$79=1)*1),"Completo",IF(SUMPRODUCT(($J$78:$J$79=1)*($E$78:$E$79="Pendiente"))=SUMPRODUCT(($J$78:$J$79=1)*1),"Pendiente","En proceso"))</f>
        <v/>
      </c>
      <c r="F77" s="3">
        <f>SUMPRODUCT(($J$78:$J$79=1)*($E$78:$E$79="Entregado"))&amp;" de "&amp;SUMPRODUCT(($J$78:$J$79=1)*1)</f>
        <v/>
      </c>
      <c r="G77" s="3" t="inlineStr">
        <is>
          <t>—</t>
        </is>
      </c>
      <c r="H77" s="3" t="inlineStr">
        <is>
          <t>—</t>
        </is>
      </c>
      <c r="I77" s="5" t="inlineStr"/>
      <c r="J77" s="3" t="n">
        <v>0</v>
      </c>
    </row>
    <row r="78">
      <c r="A78" s="6" t="inlineStr">
        <is>
          <t>6.1</t>
        </is>
      </c>
      <c r="B78" s="7" t="inlineStr">
        <is>
          <t>Políticas de investigación</t>
        </is>
      </c>
      <c r="C78" s="8" t="inlineStr">
        <is>
          <t>Jorge Cespedes Esteves</t>
        </is>
      </c>
      <c r="D78" s="8" t="inlineStr">
        <is>
          <t>Gustavo Adolfo Aguilar Huanca</t>
        </is>
      </c>
      <c r="E78" s="6" t="inlineStr">
        <is>
          <t xml:space="preserve">Entregado</t>
        </is>
      </c>
      <c r="F78" s="9" t="n">
        <v>46307</v>
      </c>
      <c r="G78" s="6" t="inlineStr">
        <is>
          <t xml:space="preserve">Word</t>
        </is>
      </c>
      <c r="H78" s="6" t="inlineStr">
        <is>
          <t xml:space="preserve">Sí</t>
        </is>
      </c>
      <c r="I78" s="10" t="inlineStr">
        <is>
          <t xml:space="preserve">Informe Subcomisión 6 Investigación</t>
        </is>
      </c>
      <c r="J78" s="6" t="n">
        <v>1</v>
      </c>
    </row>
    <row r="79">
      <c r="A79" s="6" t="inlineStr">
        <is>
          <t>6.2</t>
        </is>
      </c>
      <c r="B79" s="7" t="inlineStr">
        <is>
          <t>Líneas de investigación</t>
        </is>
      </c>
      <c r="C79" s="8" t="inlineStr">
        <is>
          <t>Jorge Cespedes Esteves</t>
        </is>
      </c>
      <c r="D79" s="8" t="inlineStr">
        <is>
          <t>Gustavo Adolfo Aguilar Huanca</t>
        </is>
      </c>
      <c r="E79" s="6" t="inlineStr">
        <is>
          <t xml:space="preserve">Entregado</t>
        </is>
      </c>
      <c r="F79" s="9" t="n">
        <v>46307</v>
      </c>
      <c r="G79" s="6" t="inlineStr">
        <is>
          <t xml:space="preserve">Word</t>
        </is>
      </c>
      <c r="H79" s="6" t="inlineStr">
        <is>
          <t xml:space="preserve">Sí</t>
        </is>
      </c>
      <c r="I79" s="10" t="inlineStr">
        <is>
          <t xml:space="preserve">Informe Subcomisión 6 Investigación</t>
        </is>
      </c>
      <c r="J79" s="6" t="n">
        <v>1</v>
      </c>
    </row>
    <row r="80">
      <c r="A80" s="3" t="inlineStr">
        <is>
          <t>7.</t>
        </is>
      </c>
      <c r="B80" s="4" t="inlineStr">
        <is>
          <t>Interacción social y extensión universitaria</t>
        </is>
      </c>
      <c r="C80" s="4" t="inlineStr">
        <is>
          <t>Edith Esther López Mamani</t>
        </is>
      </c>
      <c r="D80" s="4" t="inlineStr">
        <is>
          <t>Analia Calle Mita</t>
        </is>
      </c>
      <c r="E80" s="3">
        <f>IF(SUMPRODUCT(($J$81:$J$82=1)*($E$81:$E$82="Entregado"))=SUMPRODUCT(($J$81:$J$82=1)*1),"Completo",IF(SUMPRODUCT(($J$81:$J$82=1)*($E$81:$E$82="Pendiente"))=SUMPRODUCT(($J$81:$J$82=1)*1),"Pendiente","En proceso"))</f>
        <v/>
      </c>
      <c r="F80" s="3">
        <f>SUMPRODUCT(($J$81:$J$82=1)*($E$81:$E$82="Entregado"))&amp;" de "&amp;SUMPRODUCT(($J$81:$J$82=1)*1)</f>
        <v/>
      </c>
      <c r="G80" s="3" t="inlineStr">
        <is>
          <t>—</t>
        </is>
      </c>
      <c r="H80" s="3" t="inlineStr">
        <is>
          <t>—</t>
        </is>
      </c>
      <c r="I80" s="5" t="inlineStr"/>
      <c r="J80" s="3" t="n">
        <v>0</v>
      </c>
    </row>
    <row r="81">
      <c r="A81" s="6" t="inlineStr">
        <is>
          <t>7.1</t>
        </is>
      </c>
      <c r="B81" s="7" t="inlineStr">
        <is>
          <t>Políticas y líneas de interacción social</t>
        </is>
      </c>
      <c r="C81" s="8" t="inlineStr">
        <is>
          <t>Edith Esther López Mamani</t>
        </is>
      </c>
      <c r="D81" s="8" t="inlineStr">
        <is>
          <t>Analia Calle Mita</t>
        </is>
      </c>
      <c r="E81" s="6" t="inlineStr">
        <is>
          <t>Pendiente</t>
        </is>
      </c>
      <c r="F81" s="9" t="n"/>
      <c r="G81" s="6" t="n"/>
      <c r="H81" s="6" t="inlineStr">
        <is>
          <t>No</t>
        </is>
      </c>
      <c r="I81" s="10" t="n"/>
      <c r="J81" s="6" t="n">
        <v>1</v>
      </c>
    </row>
    <row r="82">
      <c r="A82" s="6" t="inlineStr">
        <is>
          <t>7.2</t>
        </is>
      </c>
      <c r="B82" s="7" t="inlineStr">
        <is>
          <t>Políticas y líneas de extensión universitaria</t>
        </is>
      </c>
      <c r="C82" s="8" t="inlineStr">
        <is>
          <t>Edith Esther López Mamani</t>
        </is>
      </c>
      <c r="D82" s="8" t="inlineStr">
        <is>
          <t>Analia Calle Mita</t>
        </is>
      </c>
      <c r="E82" s="6" t="inlineStr">
        <is>
          <t>Pendiente</t>
        </is>
      </c>
      <c r="F82" s="9" t="n"/>
      <c r="G82" s="6" t="n"/>
      <c r="H82" s="6" t="inlineStr">
        <is>
          <t>No</t>
        </is>
      </c>
      <c r="I82" s="10" t="n"/>
      <c r="J82" s="6" t="n">
        <v>1</v>
      </c>
    </row>
    <row r="83">
      <c r="A83" s="3" t="inlineStr">
        <is>
          <t>8.</t>
        </is>
      </c>
      <c r="B83" s="4" t="inlineStr">
        <is>
          <t>Organización del proceso curricular</t>
        </is>
      </c>
      <c r="C83" s="4" t="inlineStr">
        <is>
          <t>Comisión Supra</t>
        </is>
      </c>
      <c r="D83" s="4" t="inlineStr">
        <is>
          <t>Comisión Supra</t>
        </is>
      </c>
      <c r="E83" s="3">
        <f>IF(SUMPRODUCT(($J$84:$J$89=1)*($E$84:$E$89="Entregado"))=SUMPRODUCT(($J$84:$J$89=1)*1),"Completo",IF(SUMPRODUCT(($J$84:$J$89=1)*($E$84:$E$89="Pendiente"))=SUMPRODUCT(($J$84:$J$89=1)*1),"Pendiente","En proceso"))</f>
        <v/>
      </c>
      <c r="F83" s="3">
        <f>SUMPRODUCT(($J$84:$J$89=1)*($E$84:$E$89="Entregado"))&amp;" de "&amp;SUMPRODUCT(($J$84:$J$89=1)*1)</f>
        <v/>
      </c>
      <c r="G83" s="3" t="inlineStr">
        <is>
          <t>—</t>
        </is>
      </c>
      <c r="H83" s="3" t="inlineStr">
        <is>
          <t>—</t>
        </is>
      </c>
      <c r="I83" s="5" t="inlineStr"/>
      <c r="J83" s="3" t="n">
        <v>0</v>
      </c>
    </row>
    <row r="84">
      <c r="A84" s="6" t="inlineStr">
        <is>
          <t>8.1</t>
        </is>
      </c>
      <c r="B84" s="7" t="inlineStr">
        <is>
          <t>Número de semanas lectivas por semestre/año</t>
        </is>
      </c>
      <c r="C84" s="8" t="inlineStr">
        <is>
          <t>Comisión Supra</t>
        </is>
      </c>
      <c r="D84" s="8" t="inlineStr">
        <is>
          <t>Comisión Supra</t>
        </is>
      </c>
      <c r="E84" s="6" t="inlineStr">
        <is>
          <t>Pendiente</t>
        </is>
      </c>
      <c r="F84" s="9" t="n"/>
      <c r="G84" s="6" t="n"/>
      <c r="H84" s="6" t="inlineStr">
        <is>
          <t>No</t>
        </is>
      </c>
      <c r="I84" s="10" t="n"/>
      <c r="J84" s="6" t="n">
        <v>1</v>
      </c>
    </row>
    <row r="85">
      <c r="A85" s="6" t="inlineStr">
        <is>
          <t>8.2</t>
        </is>
      </c>
      <c r="B85" s="7" t="inlineStr">
        <is>
          <t>Número de horas cronológicas por semana</t>
        </is>
      </c>
      <c r="C85" s="8" t="inlineStr">
        <is>
          <t>Comisión Supra</t>
        </is>
      </c>
      <c r="D85" s="8" t="inlineStr">
        <is>
          <t>Comisión Supra</t>
        </is>
      </c>
      <c r="E85" s="6" t="inlineStr">
        <is>
          <t>Pendiente</t>
        </is>
      </c>
      <c r="F85" s="9" t="n"/>
      <c r="G85" s="6" t="n"/>
      <c r="H85" s="6" t="inlineStr">
        <is>
          <t>No</t>
        </is>
      </c>
      <c r="I85" s="10" t="n"/>
      <c r="J85" s="6" t="n">
        <v>1</v>
      </c>
    </row>
    <row r="86">
      <c r="A86" s="6" t="inlineStr">
        <is>
          <t>8.3</t>
        </is>
      </c>
      <c r="B86" s="7" t="inlineStr">
        <is>
          <t>Total de horas planificadas</t>
        </is>
      </c>
      <c r="C86" s="8" t="inlineStr">
        <is>
          <t>Comisión Supra</t>
        </is>
      </c>
      <c r="D86" s="8" t="inlineStr">
        <is>
          <t>Comisión Supra</t>
        </is>
      </c>
      <c r="E86" s="6" t="inlineStr">
        <is>
          <t>Pendiente</t>
        </is>
      </c>
      <c r="F86" s="9" t="n"/>
      <c r="G86" s="6" t="n"/>
      <c r="H86" s="6" t="inlineStr">
        <is>
          <t>No</t>
        </is>
      </c>
      <c r="I86" s="10" t="n"/>
      <c r="J86" s="6" t="n">
        <v>1</v>
      </c>
    </row>
    <row r="87">
      <c r="A87" s="6" t="inlineStr">
        <is>
          <t>8.4</t>
        </is>
      </c>
      <c r="B87" s="7" t="inlineStr">
        <is>
          <t>Carga horaria cronológica en actividades de investigación</t>
        </is>
      </c>
      <c r="C87" s="8" t="inlineStr">
        <is>
          <t>Comisión Supra</t>
        </is>
      </c>
      <c r="D87" s="8" t="inlineStr">
        <is>
          <t>Comisión Supra</t>
        </is>
      </c>
      <c r="E87" s="6" t="inlineStr">
        <is>
          <t>Pendiente</t>
        </is>
      </c>
      <c r="F87" s="9" t="n"/>
      <c r="G87" s="6" t="n"/>
      <c r="H87" s="6" t="inlineStr">
        <is>
          <t>No</t>
        </is>
      </c>
      <c r="I87" s="10" t="n"/>
      <c r="J87" s="6" t="n">
        <v>1</v>
      </c>
    </row>
    <row r="88">
      <c r="A88" s="6" t="inlineStr">
        <is>
          <t>8.5</t>
        </is>
      </c>
      <c r="B88" s="7" t="inlineStr">
        <is>
          <t>Sistema de créditos</t>
        </is>
      </c>
      <c r="C88" s="8" t="inlineStr">
        <is>
          <t>Comisión Supra</t>
        </is>
      </c>
      <c r="D88" s="8" t="inlineStr">
        <is>
          <t>Comisión Supra</t>
        </is>
      </c>
      <c r="E88" s="6" t="inlineStr">
        <is>
          <t>Pendiente</t>
        </is>
      </c>
      <c r="F88" s="9" t="n"/>
      <c r="G88" s="6" t="n"/>
      <c r="H88" s="6" t="inlineStr">
        <is>
          <t>No</t>
        </is>
      </c>
      <c r="I88" s="10" t="n"/>
      <c r="J88" s="6" t="n">
        <v>1</v>
      </c>
    </row>
    <row r="89">
      <c r="A89" s="6" t="inlineStr">
        <is>
          <t>8.6</t>
        </is>
      </c>
      <c r="B89" s="7" t="inlineStr">
        <is>
          <t>Número de estudiantes por asignatura</t>
        </is>
      </c>
      <c r="C89" s="8" t="inlineStr">
        <is>
          <t>Comisión Supra</t>
        </is>
      </c>
      <c r="D89" s="8" t="inlineStr">
        <is>
          <t>Comisión Supra</t>
        </is>
      </c>
      <c r="E89" s="6" t="inlineStr">
        <is>
          <t>Pendiente</t>
        </is>
      </c>
      <c r="F89" s="9" t="n"/>
      <c r="G89" s="6" t="n"/>
      <c r="H89" s="6" t="inlineStr">
        <is>
          <t>No</t>
        </is>
      </c>
      <c r="I89" s="10" t="n"/>
      <c r="J89" s="6" t="n">
        <v>1</v>
      </c>
    </row>
    <row r="90">
      <c r="A90" s="3" t="inlineStr">
        <is>
          <t>9.</t>
        </is>
      </c>
      <c r="B90" s="4" t="inlineStr">
        <is>
          <t>Material Bibliográfico</t>
        </is>
      </c>
      <c r="C90" s="4" t="inlineStr">
        <is>
          <t>Demetrio Ancalle Choque</t>
        </is>
      </c>
      <c r="D90" s="4" t="inlineStr">
        <is>
          <t>Wendy Callizaya Pocoaca</t>
        </is>
      </c>
      <c r="E90" s="3">
        <f>IF(SUMPRODUCT(($J$91:$J$94=1)*($E$91:$E$94="Entregado"))=SUMPRODUCT(($J$91:$J$94=1)*1),"Completo",IF(SUMPRODUCT(($J$91:$J$94=1)*($E$91:$E$94="Pendiente"))=SUMPRODUCT(($J$91:$J$94=1)*1),"Pendiente","En proceso"))</f>
        <v/>
      </c>
      <c r="F90" s="3">
        <f>SUMPRODUCT(($J$91:$J$94=1)*($E$91:$E$94="Entregado"))&amp;" de "&amp;SUMPRODUCT(($J$91:$J$94=1)*1)</f>
        <v/>
      </c>
      <c r="G90" s="3" t="inlineStr">
        <is>
          <t>—</t>
        </is>
      </c>
      <c r="H90" s="3" t="inlineStr">
        <is>
          <t>—</t>
        </is>
      </c>
      <c r="I90" s="5" t="inlineStr"/>
      <c r="J90" s="3" t="n">
        <v>0</v>
      </c>
    </row>
    <row r="91">
      <c r="A91" s="6" t="inlineStr">
        <is>
          <t>9.1</t>
        </is>
      </c>
      <c r="B91" s="7" t="inlineStr">
        <is>
          <t>Textos físicos y digitales (suficiencia cuantitativa y cualitativa)</t>
        </is>
      </c>
      <c r="C91" s="8" t="inlineStr">
        <is>
          <t>Demetrio Ancalle Choque</t>
        </is>
      </c>
      <c r="D91" s="8" t="inlineStr">
        <is>
          <t>Wendy Callizaya Pocoaca</t>
        </is>
      </c>
      <c r="E91" s="6" t="inlineStr">
        <is>
          <t xml:space="preserve">Entregado</t>
        </is>
      </c>
      <c r="F91" s="9" t="n">
        <v>46307</v>
      </c>
      <c r="G91" s="6" t="inlineStr">
        <is>
          <t xml:space="preserve">Excel</t>
        </is>
      </c>
      <c r="H91" s="6" t="inlineStr">
        <is>
          <t xml:space="preserve">Sí</t>
        </is>
      </c>
      <c r="I91" s="10" t="inlineStr">
        <is>
          <t xml:space="preserve">Listados de bibliografía por asignatura (43) y de trabajos de grado (7), 52 archivos Excel</t>
        </is>
      </c>
      <c r="J91" s="6" t="n">
        <v>1</v>
      </c>
    </row>
    <row r="92">
      <c r="A92" s="6" t="inlineStr">
        <is>
          <t>9.2</t>
        </is>
      </c>
      <c r="B92" s="7" t="inlineStr">
        <is>
          <t>Suscripción a revistas de reconocido prestigio especializado</t>
        </is>
      </c>
      <c r="C92" s="8" t="inlineStr">
        <is>
          <t>Demetrio Ancalle Choque</t>
        </is>
      </c>
      <c r="D92" s="8" t="inlineStr">
        <is>
          <t>Wendy Callizaya Pocoaca</t>
        </is>
      </c>
      <c r="E92" s="6" t="inlineStr">
        <is>
          <t>Pendiente</t>
        </is>
      </c>
      <c r="F92" s="9" t="n"/>
      <c r="G92" s="6" t="n"/>
      <c r="H92" s="6" t="inlineStr">
        <is>
          <t>No</t>
        </is>
      </c>
      <c r="I92" s="10" t="n"/>
      <c r="J92" s="6" t="n">
        <v>1</v>
      </c>
    </row>
    <row r="93">
      <c r="A93" s="6" t="inlineStr">
        <is>
          <t>9.3</t>
        </is>
      </c>
      <c r="B93" s="7" t="inlineStr">
        <is>
          <t>Conexión a sistemas de información nacional o internacional</t>
        </is>
      </c>
      <c r="C93" s="8" t="inlineStr">
        <is>
          <t>Maria del Carmen Pinell Varcarcel</t>
        </is>
      </c>
      <c r="D93" s="8" t="inlineStr">
        <is>
          <t>Alex Jesus Huanca Uscamayta</t>
        </is>
      </c>
      <c r="E93" s="6" t="inlineStr">
        <is>
          <t>Pendiente</t>
        </is>
      </c>
      <c r="F93" s="9" t="n"/>
      <c r="G93" s="6" t="n"/>
      <c r="H93" s="6" t="inlineStr">
        <is>
          <t>No</t>
        </is>
      </c>
      <c r="I93" s="10" t="n"/>
      <c r="J93" s="6" t="n">
        <v>1</v>
      </c>
    </row>
    <row r="94">
      <c r="A94" s="6" t="inlineStr">
        <is>
          <t>9.4</t>
        </is>
      </c>
      <c r="B94" s="7" t="inlineStr">
        <is>
          <t>Internet, sistema de red o wifi</t>
        </is>
      </c>
      <c r="C94" s="8" t="inlineStr">
        <is>
          <t>Maria del Carmen Pinell Varcarcel</t>
        </is>
      </c>
      <c r="D94" s="8" t="inlineStr">
        <is>
          <t>Alex Jesus Huanca Uscamayta</t>
        </is>
      </c>
      <c r="E94" s="6" t="inlineStr">
        <is>
          <t>Pendiente</t>
        </is>
      </c>
      <c r="F94" s="9" t="n"/>
      <c r="G94" s="6" t="n"/>
      <c r="H94" s="6" t="inlineStr">
        <is>
          <t>No</t>
        </is>
      </c>
      <c r="I94" s="10" t="n"/>
      <c r="J94" s="6" t="n">
        <v>1</v>
      </c>
    </row>
    <row r="95">
      <c r="A95" s="3" t="inlineStr">
        <is>
          <t>10.</t>
        </is>
      </c>
      <c r="B95" s="4" t="inlineStr">
        <is>
          <t>Recursos educativos</t>
        </is>
      </c>
      <c r="C95" s="4" t="inlineStr">
        <is>
          <t>Miguel Cotaña Mier</t>
        </is>
      </c>
      <c r="D95" s="4" t="inlineStr">
        <is>
          <t>Camila Lampa Choque</t>
        </is>
      </c>
      <c r="E95" s="3">
        <f>IF(SUMPRODUCT(($J$96:$J$107=1)*($E$96:$E$107="Entregado"))=SUMPRODUCT(($J$96:$J$107=1)*1),"Completo",IF(SUMPRODUCT(($J$96:$J$107=1)*($E$96:$E$107="Pendiente"))=SUMPRODUCT(($J$96:$J$107=1)*1),"Pendiente","En proceso"))</f>
        <v/>
      </c>
      <c r="F95" s="3">
        <f>SUMPRODUCT(($J$96:$J$107=1)*($E$96:$E$107="Entregado"))&amp;" de "&amp;SUMPRODUCT(($J$96:$J$107=1)*1)</f>
        <v/>
      </c>
      <c r="G95" s="3" t="inlineStr">
        <is>
          <t>—</t>
        </is>
      </c>
      <c r="H95" s="3" t="inlineStr">
        <is>
          <t>—</t>
        </is>
      </c>
      <c r="I95" s="5" t="inlineStr"/>
      <c r="J95" s="3" t="n">
        <v>0</v>
      </c>
    </row>
    <row r="96">
      <c r="A96" s="6" t="inlineStr">
        <is>
          <t>10.1</t>
        </is>
      </c>
      <c r="B96" s="7" t="inlineStr">
        <is>
          <t>Equipos multimedia</t>
        </is>
      </c>
      <c r="C96" s="8" t="inlineStr">
        <is>
          <t>Miguel Cotaña Mier</t>
        </is>
      </c>
      <c r="D96" s="8" t="inlineStr">
        <is>
          <t>Camila Lampa Choque</t>
        </is>
      </c>
      <c r="E96" s="6" t="inlineStr">
        <is>
          <t>Pendiente</t>
        </is>
      </c>
      <c r="F96" s="9" t="n"/>
      <c r="G96" s="6" t="n"/>
      <c r="H96" s="6" t="inlineStr">
        <is>
          <t>No</t>
        </is>
      </c>
      <c r="I96" s="10" t="n"/>
      <c r="J96" s="6" t="n">
        <v>1</v>
      </c>
    </row>
    <row r="97">
      <c r="A97" s="6" t="inlineStr">
        <is>
          <t>10.2</t>
        </is>
      </c>
      <c r="B97" s="7" t="inlineStr">
        <is>
          <t>Computadora en red</t>
        </is>
      </c>
      <c r="C97" s="8" t="inlineStr">
        <is>
          <t>Miguel Cotaña Mier</t>
        </is>
      </c>
      <c r="D97" s="8" t="inlineStr">
        <is>
          <t>Camila Lampa Choque</t>
        </is>
      </c>
      <c r="E97" s="6" t="inlineStr">
        <is>
          <t>Pendiente</t>
        </is>
      </c>
      <c r="F97" s="9" t="n"/>
      <c r="G97" s="6" t="n"/>
      <c r="H97" s="6" t="inlineStr">
        <is>
          <t>No</t>
        </is>
      </c>
      <c r="I97" s="10" t="n"/>
      <c r="J97" s="6" t="n">
        <v>1</v>
      </c>
    </row>
    <row r="98">
      <c r="A98" s="6" t="inlineStr">
        <is>
          <t>10.3</t>
        </is>
      </c>
      <c r="B98" s="7" t="inlineStr">
        <is>
          <t>Software</t>
        </is>
      </c>
      <c r="C98" s="8" t="inlineStr">
        <is>
          <t>Miguel Cotaña Mier</t>
        </is>
      </c>
      <c r="D98" s="8" t="inlineStr">
        <is>
          <t>Camila Lampa Choque</t>
        </is>
      </c>
      <c r="E98" s="6" t="inlineStr">
        <is>
          <t>Pendiente</t>
        </is>
      </c>
      <c r="F98" s="9" t="n"/>
      <c r="G98" s="6" t="n"/>
      <c r="H98" s="6" t="inlineStr">
        <is>
          <t>No</t>
        </is>
      </c>
      <c r="I98" s="10" t="n"/>
      <c r="J98" s="6" t="n">
        <v>1</v>
      </c>
    </row>
    <row r="99">
      <c r="A99" s="6" t="inlineStr">
        <is>
          <t>10.4</t>
        </is>
      </c>
      <c r="B99" s="7" t="inlineStr">
        <is>
          <t>Laboratorios</t>
        </is>
      </c>
      <c r="C99" s="8" t="inlineStr">
        <is>
          <t>Miguel Cotaña Mier</t>
        </is>
      </c>
      <c r="D99" s="8" t="inlineStr">
        <is>
          <t>Camila Lampa Choque</t>
        </is>
      </c>
      <c r="E99" s="6" t="inlineStr">
        <is>
          <t>Pendiente</t>
        </is>
      </c>
      <c r="F99" s="9" t="n"/>
      <c r="G99" s="6" t="n"/>
      <c r="H99" s="6" t="inlineStr">
        <is>
          <t>No</t>
        </is>
      </c>
      <c r="I99" s="10" t="n"/>
      <c r="J99" s="6" t="n">
        <v>1</v>
      </c>
    </row>
    <row r="100">
      <c r="A100" s="6" t="inlineStr">
        <is>
          <t>10.5</t>
        </is>
      </c>
      <c r="B100" s="7" t="inlineStr">
        <is>
          <t>Material audiovisual</t>
        </is>
      </c>
      <c r="C100" s="8" t="inlineStr">
        <is>
          <t>Freddy Huanca Mamani</t>
        </is>
      </c>
      <c r="D100" s="8" t="inlineStr">
        <is>
          <t>Maria Joaquina Salinas Terceros</t>
        </is>
      </c>
      <c r="E100" s="6" t="inlineStr">
        <is>
          <t>Pendiente</t>
        </is>
      </c>
      <c r="F100" s="9" t="n"/>
      <c r="G100" s="6" t="n"/>
      <c r="H100" s="6" t="inlineStr">
        <is>
          <t>No</t>
        </is>
      </c>
      <c r="I100" s="10" t="n"/>
      <c r="J100" s="6" t="n">
        <v>1</v>
      </c>
    </row>
    <row r="101">
      <c r="A101" s="6" t="inlineStr">
        <is>
          <t>10.6</t>
        </is>
      </c>
      <c r="B101" s="7" t="inlineStr">
        <is>
          <t>Medios didácticos informáticos</t>
        </is>
      </c>
      <c r="C101" s="8" t="inlineStr">
        <is>
          <t>Freddy Huanca Mamani</t>
        </is>
      </c>
      <c r="D101" s="8" t="inlineStr">
        <is>
          <t>Maria Joaquina Salinas Terceros</t>
        </is>
      </c>
      <c r="E101" s="6" t="inlineStr">
        <is>
          <t>Pendiente</t>
        </is>
      </c>
      <c r="F101" s="9" t="n"/>
      <c r="G101" s="6" t="n"/>
      <c r="H101" s="6" t="inlineStr">
        <is>
          <t>No</t>
        </is>
      </c>
      <c r="I101" s="10" t="n"/>
      <c r="J101" s="6" t="n">
        <v>1</v>
      </c>
    </row>
    <row r="102">
      <c r="A102" s="6" t="inlineStr">
        <is>
          <t>10.7</t>
        </is>
      </c>
      <c r="B102" s="7" t="inlineStr">
        <is>
          <t>Soportes físicos</t>
        </is>
      </c>
      <c r="C102" s="8" t="inlineStr">
        <is>
          <t>Freddy Huanca Mamani</t>
        </is>
      </c>
      <c r="D102" s="8" t="inlineStr">
        <is>
          <t>Maria Joaquina Salinas Terceros</t>
        </is>
      </c>
      <c r="E102" s="6" t="inlineStr">
        <is>
          <t>Pendiente</t>
        </is>
      </c>
      <c r="F102" s="9" t="n"/>
      <c r="G102" s="6" t="n"/>
      <c r="H102" s="6" t="inlineStr">
        <is>
          <t>No</t>
        </is>
      </c>
      <c r="I102" s="10" t="n"/>
      <c r="J102" s="6" t="n">
        <v>1</v>
      </c>
    </row>
    <row r="103">
      <c r="A103" s="6" t="inlineStr">
        <is>
          <t>10.8</t>
        </is>
      </c>
      <c r="B103" s="7" t="inlineStr">
        <is>
          <t>Programas informáticos educativos</t>
        </is>
      </c>
      <c r="C103" s="8" t="inlineStr">
        <is>
          <t>Freddy Huanca Mamani</t>
        </is>
      </c>
      <c r="D103" s="8" t="inlineStr">
        <is>
          <t>Maria Joaquina Salinas Terceros</t>
        </is>
      </c>
      <c r="E103" s="6" t="inlineStr">
        <is>
          <t>Pendiente</t>
        </is>
      </c>
      <c r="F103" s="9" t="n"/>
      <c r="G103" s="6" t="n"/>
      <c r="H103" s="6" t="inlineStr">
        <is>
          <t>No</t>
        </is>
      </c>
      <c r="I103" s="10" t="n"/>
      <c r="J103" s="6" t="n">
        <v>1</v>
      </c>
    </row>
    <row r="104">
      <c r="A104" s="6" t="inlineStr">
        <is>
          <t>10.9</t>
        </is>
      </c>
      <c r="B104" s="7" t="inlineStr">
        <is>
          <t>Medios interactivos</t>
        </is>
      </c>
      <c r="C104" s="8" t="inlineStr">
        <is>
          <t>Freddy Huanca Mamani</t>
        </is>
      </c>
      <c r="D104" s="8" t="inlineStr">
        <is>
          <t>Maria Joaquina Salinas Terceros</t>
        </is>
      </c>
      <c r="E104" s="6" t="inlineStr">
        <is>
          <t>Pendiente</t>
        </is>
      </c>
      <c r="F104" s="9" t="n"/>
      <c r="G104" s="6" t="n"/>
      <c r="H104" s="6" t="inlineStr">
        <is>
          <t>No</t>
        </is>
      </c>
      <c r="I104" s="10" t="n"/>
      <c r="J104" s="6" t="n">
        <v>1</v>
      </c>
    </row>
    <row r="105">
      <c r="A105" s="6" t="inlineStr">
        <is>
          <t>10.10</t>
        </is>
      </c>
      <c r="B105" s="7" t="inlineStr">
        <is>
          <t>Multimedia e internet</t>
        </is>
      </c>
      <c r="C105" s="8" t="inlineStr">
        <is>
          <t>Magna Rosmery Layme Llanos</t>
        </is>
      </c>
      <c r="D105" s="8" t="inlineStr">
        <is>
          <t>Mayumi Evelin Quispe Mamani</t>
        </is>
      </c>
      <c r="E105" s="6" t="inlineStr">
        <is>
          <t>Pendiente</t>
        </is>
      </c>
      <c r="F105" s="9" t="n"/>
      <c r="G105" s="6" t="n"/>
      <c r="H105" s="6" t="inlineStr">
        <is>
          <t>No</t>
        </is>
      </c>
      <c r="I105" s="10" t="n"/>
      <c r="J105" s="6" t="n">
        <v>1</v>
      </c>
    </row>
    <row r="106">
      <c r="A106" s="6" t="inlineStr">
        <is>
          <t>10.11</t>
        </is>
      </c>
      <c r="B106" s="7" t="inlineStr">
        <is>
          <t>Servicios telemáticos</t>
        </is>
      </c>
      <c r="C106" s="8" t="inlineStr">
        <is>
          <t>Magna Rosmery Layme Llanos</t>
        </is>
      </c>
      <c r="D106" s="8" t="inlineStr">
        <is>
          <t>Mayumi Evelin Quispe Mamani</t>
        </is>
      </c>
      <c r="E106" s="6" t="inlineStr">
        <is>
          <t>Pendiente</t>
        </is>
      </c>
      <c r="F106" s="9" t="n"/>
      <c r="G106" s="6" t="n"/>
      <c r="H106" s="6" t="inlineStr">
        <is>
          <t>No</t>
        </is>
      </c>
      <c r="I106" s="10" t="n"/>
      <c r="J106" s="6" t="n">
        <v>1</v>
      </c>
    </row>
    <row r="107">
      <c r="A107" s="6" t="inlineStr">
        <is>
          <t>10.12</t>
        </is>
      </c>
      <c r="B107" s="7" t="inlineStr">
        <is>
          <t>Entornos virtuales de enseñanza y aprendizaje</t>
        </is>
      </c>
      <c r="C107" s="8" t="inlineStr">
        <is>
          <t>Magna Rosmery Layme Llanos</t>
        </is>
      </c>
      <c r="D107" s="8" t="inlineStr">
        <is>
          <t>Mayumi Evelin Quispe Mamani</t>
        </is>
      </c>
      <c r="E107" s="6" t="inlineStr">
        <is>
          <t>Pendiente</t>
        </is>
      </c>
      <c r="F107" s="9" t="n"/>
      <c r="G107" s="6" t="n"/>
      <c r="H107" s="6" t="inlineStr">
        <is>
          <t>No</t>
        </is>
      </c>
      <c r="I107" s="10" t="n"/>
      <c r="J107" s="6" t="n">
        <v>1</v>
      </c>
    </row>
    <row r="108">
      <c r="A108" s="3" t="inlineStr">
        <is>
          <t>11.</t>
        </is>
      </c>
      <c r="B108" s="4" t="inlineStr">
        <is>
          <t>Implementación del proyecto curricular</t>
        </is>
      </c>
      <c r="C108" s="4" t="inlineStr">
        <is>
          <t>Daniel Laura Choque</t>
        </is>
      </c>
      <c r="D108" s="4" t="inlineStr">
        <is>
          <t>Nazareth Samia Espejo Ticonipa</t>
        </is>
      </c>
      <c r="E108" s="3">
        <f>IF(SUMPRODUCT(($J$109:$J$111=1)*($E$109:$E$111="Entregado"))=SUMPRODUCT(($J$109:$J$111=1)*1),"Completo",IF(SUMPRODUCT(($J$109:$J$111=1)*($E$109:$E$111="Pendiente"))=SUMPRODUCT(($J$109:$J$111=1)*1),"Pendiente","En proceso"))</f>
        <v/>
      </c>
      <c r="F108" s="3">
        <f>SUMPRODUCT(($J$109:$J$111=1)*($E$109:$E$111="Entregado"))&amp;" de "&amp;SUMPRODUCT(($J$109:$J$111=1)*1)</f>
        <v/>
      </c>
      <c r="G108" s="3" t="inlineStr">
        <is>
          <t>—</t>
        </is>
      </c>
      <c r="H108" s="3" t="inlineStr">
        <is>
          <t>—</t>
        </is>
      </c>
      <c r="I108" s="5" t="inlineStr"/>
      <c r="J108" s="3" t="n">
        <v>0</v>
      </c>
    </row>
    <row r="109">
      <c r="A109" s="6" t="inlineStr">
        <is>
          <t>11.1</t>
        </is>
      </c>
      <c r="B109" s="7" t="inlineStr">
        <is>
          <t>Infraestructura, equipamiento y sistemas de soporte informático</t>
        </is>
      </c>
      <c r="C109" s="8" t="inlineStr">
        <is>
          <t>Daniel Laura Choque</t>
        </is>
      </c>
      <c r="D109" s="8" t="inlineStr">
        <is>
          <t>Nazareth Samia Espejo Ticonipa</t>
        </is>
      </c>
      <c r="E109" s="6" t="inlineStr">
        <is>
          <t>Pendiente</t>
        </is>
      </c>
      <c r="F109" s="9" t="n"/>
      <c r="G109" s="6" t="n"/>
      <c r="H109" s="6" t="inlineStr">
        <is>
          <t>No</t>
        </is>
      </c>
      <c r="I109" s="10" t="n"/>
      <c r="J109" s="6" t="n">
        <v>1</v>
      </c>
    </row>
    <row r="110">
      <c r="A110" s="6" t="inlineStr">
        <is>
          <t>11.2</t>
        </is>
      </c>
      <c r="B110" s="7" t="inlineStr">
        <is>
          <t>Recursos humanos</t>
        </is>
      </c>
      <c r="C110" s="8" t="inlineStr">
        <is>
          <t>Guido Rogelio Yujra Segales</t>
        </is>
      </c>
      <c r="D110" s="8" t="inlineStr">
        <is>
          <t>Maya Jazmin Manzaneda Flores</t>
        </is>
      </c>
      <c r="E110" s="6" t="inlineStr">
        <is>
          <t xml:space="preserve">Entregado</t>
        </is>
      </c>
      <c r="F110" s="9" t="n">
        <v>46307</v>
      </c>
      <c r="G110" s="6" t="inlineStr">
        <is>
          <t xml:space="preserve">Word</t>
        </is>
      </c>
      <c r="H110" s="6" t="inlineStr">
        <is>
          <t xml:space="preserve">Sí</t>
        </is>
      </c>
      <c r="I110" s="10" t="inlineStr">
        <is>
          <t xml:space="preserve">Documento 04 Plan de Estudios 2026</t>
        </is>
      </c>
      <c r="J110" s="6" t="n">
        <v>1</v>
      </c>
    </row>
    <row r="111">
      <c r="A111" s="6" t="inlineStr">
        <is>
          <t>11.3</t>
        </is>
      </c>
      <c r="B111" s="7" t="inlineStr">
        <is>
          <t>Política presupuestaria y financiera</t>
        </is>
      </c>
      <c r="C111" s="8" t="inlineStr">
        <is>
          <t>Guido Rogelio Yujra Segales</t>
        </is>
      </c>
      <c r="D111" s="8" t="inlineStr">
        <is>
          <t>Maya Jazmin Manzaneda Flores</t>
        </is>
      </c>
      <c r="E111" s="6" t="inlineStr">
        <is>
          <t>Pendiente</t>
        </is>
      </c>
      <c r="F111" s="9" t="n"/>
      <c r="G111" s="6" t="n"/>
      <c r="H111" s="6" t="inlineStr">
        <is>
          <t>No</t>
        </is>
      </c>
      <c r="I111" s="10" t="n"/>
      <c r="J111" s="6" t="n">
        <v>1</v>
      </c>
    </row>
    <row r="112">
      <c r="A112" s="3" t="inlineStr">
        <is>
          <t>12.</t>
        </is>
      </c>
      <c r="B112" s="4" t="inlineStr">
        <is>
          <t>Evaluación Curricular</t>
        </is>
      </c>
      <c r="C112" s="4" t="inlineStr">
        <is>
          <t>Luis Enrique Hinojosa Rodríguez</t>
        </is>
      </c>
      <c r="D112" s="4" t="inlineStr">
        <is>
          <t>Camila Nicol Zuñiga Estrada</t>
        </is>
      </c>
      <c r="E112" s="3">
        <f>IF(SUMPRODUCT(($J$113:$J$114=1)*($E$113:$E$114="Entregado"))=SUMPRODUCT(($J$113:$J$114=1)*1),"Completo",IF(SUMPRODUCT(($J$113:$J$114=1)*($E$113:$E$114="Pendiente"))=SUMPRODUCT(($J$113:$J$114=1)*1),"Pendiente","En proceso"))</f>
        <v/>
      </c>
      <c r="F112" s="3">
        <f>SUMPRODUCT(($J$113:$J$114=1)*($E$113:$E$114="Entregado"))&amp;" de "&amp;SUMPRODUCT(($J$113:$J$114=1)*1)</f>
        <v/>
      </c>
      <c r="G112" s="3" t="inlineStr">
        <is>
          <t>—</t>
        </is>
      </c>
      <c r="H112" s="3" t="inlineStr">
        <is>
          <t>—</t>
        </is>
      </c>
      <c r="I112" s="5" t="inlineStr"/>
      <c r="J112" s="3" t="n">
        <v>0</v>
      </c>
    </row>
    <row r="113">
      <c r="A113" s="6" t="inlineStr">
        <is>
          <t>12.1</t>
        </is>
      </c>
      <c r="B113" s="7" t="inlineStr">
        <is>
          <t>Lineamientos para la evaluación curricular</t>
        </is>
      </c>
      <c r="C113" s="8" t="inlineStr">
        <is>
          <t>Luis Enrique Hinojosa Rodríguez</t>
        </is>
      </c>
      <c r="D113" s="8" t="inlineStr">
        <is>
          <t>Camila Nicol Zuñiga Estrada</t>
        </is>
      </c>
      <c r="E113" s="6" t="inlineStr">
        <is>
          <t xml:space="preserve">Entregado</t>
        </is>
      </c>
      <c r="F113" s="9" t="n">
        <v>46307</v>
      </c>
      <c r="G113" s="6" t="inlineStr">
        <is>
          <t xml:space="preserve">Word</t>
        </is>
      </c>
      <c r="H113" s="6" t="inlineStr">
        <is>
          <t xml:space="preserve">Sí</t>
        </is>
      </c>
      <c r="I113" s="10" t="inlineStr">
        <is>
          <t xml:space="preserve">Documento 04 Plan de Estudios 2026</t>
        </is>
      </c>
      <c r="J113" s="6" t="n">
        <v>1</v>
      </c>
    </row>
    <row r="114">
      <c r="A114" s="6" t="inlineStr">
        <is>
          <t>12.2</t>
        </is>
      </c>
      <c r="B114" s="7" t="inlineStr">
        <is>
          <t>Estrategias de seguimiento a titulados</t>
        </is>
      </c>
      <c r="C114" s="8" t="inlineStr">
        <is>
          <t>Humberto Quintanilla Muñoz</t>
        </is>
      </c>
      <c r="D114" s="8" t="inlineStr">
        <is>
          <t>Lizeth Matilde Carvajal Callisaya</t>
        </is>
      </c>
      <c r="E114" s="6" t="inlineStr">
        <is>
          <t>Pendiente</t>
        </is>
      </c>
      <c r="F114" s="9" t="n"/>
      <c r="G114" s="6" t="n"/>
      <c r="H114" s="6" t="inlineStr">
        <is>
          <t>No</t>
        </is>
      </c>
      <c r="I114" s="10" t="n"/>
      <c r="J114" s="6" t="n">
        <v>1</v>
      </c>
    </row>
    <row r="115">
      <c r="A115" s="3" t="inlineStr">
        <is>
          <t>13.</t>
        </is>
      </c>
      <c r="B115" s="4" t="inlineStr">
        <is>
          <t>Reglamentación</t>
        </is>
      </c>
      <c r="C115" s="4" t="inlineStr">
        <is>
          <t>Esperanza Mejillones Rodriguez</t>
        </is>
      </c>
      <c r="D115" s="4" t="inlineStr">
        <is>
          <t>Camila Andrea Quispe Mollocuaquira</t>
        </is>
      </c>
      <c r="E115" s="3">
        <f>IF(SUMPRODUCT(($J$116:$J$117=1)*($E$116:$E$117="Entregado"))=SUMPRODUCT(($J$116:$J$117=1)*1),"Completo",IF(SUMPRODUCT(($J$116:$J$117=1)*($E$116:$E$117="Pendiente"))=SUMPRODUCT(($J$116:$J$117=1)*1),"Pendiente","En proceso"))</f>
        <v/>
      </c>
      <c r="F115" s="3">
        <f>SUMPRODUCT(($J$116:$J$117=1)*($E$116:$E$117="Entregado"))&amp;" de "&amp;SUMPRODUCT(($J$116:$J$117=1)*1)</f>
        <v/>
      </c>
      <c r="G115" s="3" t="inlineStr">
        <is>
          <t>—</t>
        </is>
      </c>
      <c r="H115" s="3" t="inlineStr">
        <is>
          <t>—</t>
        </is>
      </c>
      <c r="I115" s="5" t="inlineStr"/>
      <c r="J115" s="3" t="n">
        <v>0</v>
      </c>
    </row>
    <row r="116">
      <c r="A116" s="6" t="inlineStr">
        <is>
          <t>13.1</t>
        </is>
      </c>
      <c r="B116" s="7" t="inlineStr">
        <is>
          <t>Reglamentos académicos y administrativos</t>
        </is>
      </c>
      <c r="C116" s="8" t="inlineStr">
        <is>
          <t>Esperanza Mejillones Rodriguez</t>
        </is>
      </c>
      <c r="D116" s="8" t="inlineStr">
        <is>
          <t>Camila Andrea Quispe Mollocuaquira</t>
        </is>
      </c>
      <c r="E116" s="6" t="inlineStr">
        <is>
          <t>Pendiente</t>
        </is>
      </c>
      <c r="F116" s="9" t="n"/>
      <c r="G116" s="6" t="n"/>
      <c r="H116" s="6" t="inlineStr">
        <is>
          <t>No</t>
        </is>
      </c>
      <c r="I116" s="10" t="n"/>
      <c r="J116" s="6" t="n">
        <v>1</v>
      </c>
    </row>
    <row r="117">
      <c r="A117" s="6" t="inlineStr">
        <is>
          <t>13.2</t>
        </is>
      </c>
      <c r="B117" s="7" t="inlineStr">
        <is>
          <t>Reglamentación del centro de investigación</t>
        </is>
      </c>
      <c r="C117" s="8" t="inlineStr">
        <is>
          <t>Ausberto Choque</t>
        </is>
      </c>
      <c r="D117" s="8" t="inlineStr">
        <is>
          <t>Herlan Nelson Rodriguez Mendoza</t>
        </is>
      </c>
      <c r="E117" s="6" t="inlineStr">
        <is>
          <t>Pendiente</t>
        </is>
      </c>
      <c r="F117" s="9" t="n"/>
      <c r="G117" s="6" t="n"/>
      <c r="H117" s="6" t="inlineStr">
        <is>
          <t>No</t>
        </is>
      </c>
      <c r="I117" s="10" t="n"/>
      <c r="J117" s="6" t="n">
        <v>1</v>
      </c>
    </row>
    <row r="118">
      <c r="A118" s="3" t="inlineStr">
        <is>
          <t>14.</t>
        </is>
      </c>
      <c r="B118" s="4" t="inlineStr">
        <is>
          <t>Infraestructura y equipamiento</t>
        </is>
      </c>
      <c r="C118" s="4" t="inlineStr">
        <is>
          <t>Juvenal Espejo</t>
        </is>
      </c>
      <c r="D118" s="4" t="inlineStr">
        <is>
          <t>Ruth Sarai Arriague Gonzales</t>
        </is>
      </c>
      <c r="E118" s="3">
        <f>IF(SUMPRODUCT(($J$119:$J$127=1)*($E$119:$E$127="Entregado"))=SUMPRODUCT(($J$119:$J$127=1)*1),"Completo",IF(SUMPRODUCT(($J$119:$J$127=1)*($E$119:$E$127="Pendiente"))=SUMPRODUCT(($J$119:$J$127=1)*1),"Pendiente","En proceso"))</f>
        <v/>
      </c>
      <c r="F118" s="3">
        <f>SUMPRODUCT(($J$119:$J$127=1)*($E$119:$E$127="Entregado"))&amp;" de "&amp;SUMPRODUCT(($J$119:$J$127=1)*1)</f>
        <v/>
      </c>
      <c r="G118" s="3" t="inlineStr">
        <is>
          <t>—</t>
        </is>
      </c>
      <c r="H118" s="3" t="inlineStr">
        <is>
          <t>—</t>
        </is>
      </c>
      <c r="I118" s="5" t="inlineStr"/>
      <c r="J118" s="3" t="n">
        <v>0</v>
      </c>
    </row>
    <row r="119">
      <c r="A119" s="6" t="inlineStr">
        <is>
          <t>14.1</t>
        </is>
      </c>
      <c r="B119" s="7" t="inlineStr">
        <is>
          <t>Aulas (físicas o virtuales)</t>
        </is>
      </c>
      <c r="C119" s="8" t="inlineStr">
        <is>
          <t>Juvenal Espejo</t>
        </is>
      </c>
      <c r="D119" s="8" t="inlineStr">
        <is>
          <t>Ruth Sarai Arriague Gonzales</t>
        </is>
      </c>
      <c r="E119" s="6" t="inlineStr">
        <is>
          <t xml:space="preserve">Entregado</t>
        </is>
      </c>
      <c r="F119" s="9" t="n">
        <v>46307</v>
      </c>
      <c r="G119" s="6" t="inlineStr">
        <is>
          <t xml:space="preserve">PDF</t>
        </is>
      </c>
      <c r="H119" s="6" t="inlineStr">
        <is>
          <t xml:space="preserve">Sí</t>
        </is>
      </c>
      <c r="I119" s="10" t="inlineStr">
        <is>
          <t xml:space="preserve">Diagnóstico Rediseño Curricular Infraestructura (PDF)</t>
        </is>
      </c>
      <c r="J119" s="6" t="n">
        <v>1</v>
      </c>
    </row>
    <row r="120">
      <c r="A120" s="6" t="inlineStr">
        <is>
          <t>14.2</t>
        </is>
      </c>
      <c r="B120" s="7" t="inlineStr">
        <is>
          <t>Tecnología audiovisual</t>
        </is>
      </c>
      <c r="C120" s="8" t="inlineStr">
        <is>
          <t>Juvenal Espejo</t>
        </is>
      </c>
      <c r="D120" s="8" t="inlineStr">
        <is>
          <t>Ruth Sarai Arriague Gonzales</t>
        </is>
      </c>
      <c r="E120" s="6" t="inlineStr">
        <is>
          <t>Pendiente</t>
        </is>
      </c>
      <c r="F120" s="9" t="n"/>
      <c r="G120" s="6" t="n"/>
      <c r="H120" s="6" t="inlineStr">
        <is>
          <t>No</t>
        </is>
      </c>
      <c r="I120" s="10" t="n"/>
      <c r="J120" s="6" t="n">
        <v>1</v>
      </c>
    </row>
    <row r="121">
      <c r="A121" s="6" t="inlineStr">
        <is>
          <t>14.3</t>
        </is>
      </c>
      <c r="B121" s="7" t="inlineStr">
        <is>
          <t>Laboratorios/talleres</t>
        </is>
      </c>
      <c r="C121" s="8" t="inlineStr">
        <is>
          <t>Juvenal Espejo</t>
        </is>
      </c>
      <c r="D121" s="8" t="inlineStr">
        <is>
          <t>Ruth Sarai Arriague Gonzales</t>
        </is>
      </c>
      <c r="E121" s="6" t="inlineStr">
        <is>
          <t>Pendiente</t>
        </is>
      </c>
      <c r="F121" s="9" t="n"/>
      <c r="G121" s="6" t="n"/>
      <c r="H121" s="6" t="inlineStr">
        <is>
          <t>No</t>
        </is>
      </c>
      <c r="I121" s="10" t="n"/>
      <c r="J121" s="6" t="n">
        <v>1</v>
      </c>
    </row>
    <row r="122">
      <c r="A122" s="6" t="inlineStr">
        <is>
          <t>14.4</t>
        </is>
      </c>
      <c r="B122" s="7" t="inlineStr">
        <is>
          <t>Áreas de biblioteca, hemeroteca e información dura o digital</t>
        </is>
      </c>
      <c r="C122" s="8" t="inlineStr">
        <is>
          <t>Juvenal Espejo</t>
        </is>
      </c>
      <c r="D122" s="8" t="inlineStr">
        <is>
          <t>Ruth Sarai Arriague Gonzales</t>
        </is>
      </c>
      <c r="E122" s="6" t="inlineStr">
        <is>
          <t xml:space="preserve">Entregado</t>
        </is>
      </c>
      <c r="F122" s="9" t="n">
        <v>46307</v>
      </c>
      <c r="G122" s="6" t="inlineStr">
        <is>
          <t xml:space="preserve">PDF</t>
        </is>
      </c>
      <c r="H122" s="6" t="inlineStr">
        <is>
          <t xml:space="preserve">Sí</t>
        </is>
      </c>
      <c r="I122" s="10" t="inlineStr">
        <is>
          <t xml:space="preserve">Diagnóstico Rediseño Curricular Infraestructura (PDF)</t>
        </is>
      </c>
      <c r="J122" s="6" t="n">
        <v>1</v>
      </c>
    </row>
    <row r="123">
      <c r="A123" s="6" t="inlineStr">
        <is>
          <t>14.5</t>
        </is>
      </c>
      <c r="B123" s="7" t="inlineStr">
        <is>
          <t>Salas de computación y computadores estacionales y portátiles</t>
        </is>
      </c>
      <c r="C123" s="8" t="inlineStr">
        <is>
          <t>Juvenal Espejo</t>
        </is>
      </c>
      <c r="D123" s="8" t="inlineStr">
        <is>
          <t>Ruth Sarai Arriague Gonzales</t>
        </is>
      </c>
      <c r="E123" s="6" t="inlineStr">
        <is>
          <t xml:space="preserve">Entregado</t>
        </is>
      </c>
      <c r="F123" s="9" t="n">
        <v>46307</v>
      </c>
      <c r="G123" s="6" t="inlineStr">
        <is>
          <t xml:space="preserve">PDF</t>
        </is>
      </c>
      <c r="H123" s="6" t="inlineStr">
        <is>
          <t xml:space="preserve">Sí</t>
        </is>
      </c>
      <c r="I123" s="10" t="inlineStr">
        <is>
          <t xml:space="preserve">Diagnóstico Rediseño Curricular Infraestructura (PDF)</t>
        </is>
      </c>
      <c r="J123" s="6" t="n">
        <v>1</v>
      </c>
    </row>
    <row r="124">
      <c r="A124" s="6" t="inlineStr">
        <is>
          <t>14.6</t>
        </is>
      </c>
      <c r="B124" s="7" t="inlineStr">
        <is>
          <t>Ambientes administrativos y sala de docentes</t>
        </is>
      </c>
      <c r="C124" s="8" t="inlineStr">
        <is>
          <t>Javier Mendoza Elias</t>
        </is>
      </c>
      <c r="D124" s="8" t="inlineStr">
        <is>
          <t>Andre Alexandro Echeverria Mamani</t>
        </is>
      </c>
      <c r="E124" s="6" t="inlineStr">
        <is>
          <t xml:space="preserve">Entregado</t>
        </is>
      </c>
      <c r="F124" s="9" t="n">
        <v>46307</v>
      </c>
      <c r="G124" s="6" t="inlineStr">
        <is>
          <t xml:space="preserve">PDF</t>
        </is>
      </c>
      <c r="H124" s="6" t="inlineStr">
        <is>
          <t xml:space="preserve">Sí</t>
        </is>
      </c>
      <c r="I124" s="10" t="inlineStr">
        <is>
          <t xml:space="preserve">Diagnóstico Rediseño Curricular Infraestructura (PDF)</t>
        </is>
      </c>
      <c r="J124" s="6" t="n">
        <v>1</v>
      </c>
    </row>
    <row r="125">
      <c r="A125" s="6" t="inlineStr">
        <is>
          <t>14.7</t>
        </is>
      </c>
      <c r="B125" s="7" t="inlineStr">
        <is>
          <t>Áreas de interacción social, cultural y deportiva</t>
        </is>
      </c>
      <c r="C125" s="8" t="inlineStr">
        <is>
          <t>Javier Mendoza Elias</t>
        </is>
      </c>
      <c r="D125" s="8" t="inlineStr">
        <is>
          <t>Andre Alexandro Echeverria Mamani</t>
        </is>
      </c>
      <c r="E125" s="6" t="inlineStr">
        <is>
          <t>Pendiente</t>
        </is>
      </c>
      <c r="F125" s="9" t="n"/>
      <c r="G125" s="6" t="n"/>
      <c r="H125" s="6" t="inlineStr">
        <is>
          <t>No</t>
        </is>
      </c>
      <c r="I125" s="10" t="n"/>
      <c r="J125" s="6" t="n">
        <v>1</v>
      </c>
    </row>
    <row r="126">
      <c r="A126" s="6" t="inlineStr">
        <is>
          <t>14.8</t>
        </is>
      </c>
      <c r="B126" s="7" t="inlineStr">
        <is>
          <t>Infraestructura sanitaria para docentes, estudiantes y administrativos</t>
        </is>
      </c>
      <c r="C126" s="8" t="inlineStr">
        <is>
          <t>Javier Mendoza Elias</t>
        </is>
      </c>
      <c r="D126" s="8" t="inlineStr">
        <is>
          <t>Andre Alexandro Echeverria Mamani</t>
        </is>
      </c>
      <c r="E126" s="6" t="inlineStr">
        <is>
          <t>Pendiente</t>
        </is>
      </c>
      <c r="F126" s="9" t="n"/>
      <c r="G126" s="6" t="n"/>
      <c r="H126" s="6" t="inlineStr">
        <is>
          <t>No</t>
        </is>
      </c>
      <c r="I126" s="10" t="n"/>
      <c r="J126" s="6" t="n">
        <v>1</v>
      </c>
    </row>
    <row r="127">
      <c r="A127" s="6" t="inlineStr">
        <is>
          <t>14.9</t>
        </is>
      </c>
      <c r="B127" s="7" t="inlineStr">
        <is>
          <t>Software</t>
        </is>
      </c>
      <c r="C127" s="8" t="inlineStr">
        <is>
          <t>Javier Mendoza Elias</t>
        </is>
      </c>
      <c r="D127" s="8" t="inlineStr">
        <is>
          <t>Andre Alexandro Echeverria Mamani</t>
        </is>
      </c>
      <c r="E127" s="6" t="inlineStr">
        <is>
          <t xml:space="preserve">Entregado</t>
        </is>
      </c>
      <c r="F127" s="9" t="n">
        <v>46307</v>
      </c>
      <c r="G127" s="6" t="inlineStr">
        <is>
          <t xml:space="preserve">PDF</t>
        </is>
      </c>
      <c r="H127" s="6" t="inlineStr">
        <is>
          <t xml:space="preserve">Sí</t>
        </is>
      </c>
      <c r="I127" s="10" t="inlineStr">
        <is>
          <t xml:space="preserve">Diagnóstico Rediseño Curricular Infraestructura (PDF)</t>
        </is>
      </c>
      <c r="J127" s="6" t="n">
        <v>1</v>
      </c>
    </row>
    <row r="128">
      <c r="A128" s="3" t="inlineStr">
        <is>
          <t>15.</t>
        </is>
      </c>
      <c r="B128" s="4" t="inlineStr">
        <is>
          <t>Mobiliario, equipamiento y materiales</t>
        </is>
      </c>
      <c r="C128" s="4" t="inlineStr">
        <is>
          <t>Hernan Alvarado</t>
        </is>
      </c>
      <c r="D128" s="4" t="inlineStr">
        <is>
          <t>Angeles Iraya Mendoza Gutierrez</t>
        </is>
      </c>
      <c r="E128" s="3">
        <f>IF(SUMPRODUCT(($J$129:$J$133=1)*($E$129:$E$133="Entregado"))=SUMPRODUCT(($J$129:$J$133=1)*1),"Completo",IF(SUMPRODUCT(($J$129:$J$133=1)*($E$129:$E$133="Pendiente"))=SUMPRODUCT(($J$129:$J$133=1)*1),"Pendiente","En proceso"))</f>
        <v/>
      </c>
      <c r="F128" s="3">
        <f>SUMPRODUCT(($J$129:$J$133=1)*($E$129:$E$133="Entregado"))&amp;" de "&amp;SUMPRODUCT(($J$129:$J$133=1)*1)</f>
        <v/>
      </c>
      <c r="G128" s="3" t="inlineStr">
        <is>
          <t>—</t>
        </is>
      </c>
      <c r="H128" s="3" t="inlineStr">
        <is>
          <t>—</t>
        </is>
      </c>
      <c r="I128" s="5" t="inlineStr"/>
      <c r="J128" s="3" t="n">
        <v>0</v>
      </c>
    </row>
    <row r="129">
      <c r="A129" s="6" t="inlineStr">
        <is>
          <t>15.1</t>
        </is>
      </c>
      <c r="B129" s="7" t="inlineStr">
        <is>
          <t>Depósitos de materiales</t>
        </is>
      </c>
      <c r="C129" s="8" t="inlineStr">
        <is>
          <t>Hernan Alvarado</t>
        </is>
      </c>
      <c r="D129" s="8" t="inlineStr">
        <is>
          <t>Angeles Iraya Mendoza Gutierrez</t>
        </is>
      </c>
      <c r="E129" s="6" t="inlineStr">
        <is>
          <t>Pendiente</t>
        </is>
      </c>
      <c r="F129" s="9" t="n"/>
      <c r="G129" s="6" t="n"/>
      <c r="H129" s="6" t="inlineStr">
        <is>
          <t>No</t>
        </is>
      </c>
      <c r="I129" s="10" t="n"/>
      <c r="J129" s="6" t="n">
        <v>1</v>
      </c>
    </row>
    <row r="130">
      <c r="A130" s="6" t="inlineStr">
        <is>
          <t>15.2</t>
        </is>
      </c>
      <c r="B130" s="7" t="inlineStr">
        <is>
          <t>Depósitos de equipamiento almacenes</t>
        </is>
      </c>
      <c r="C130" s="8" t="inlineStr">
        <is>
          <t>Hernan Alvarado</t>
        </is>
      </c>
      <c r="D130" s="8" t="inlineStr">
        <is>
          <t>Angeles Iraya Mendoza Gutierrez</t>
        </is>
      </c>
      <c r="E130" s="6" t="inlineStr">
        <is>
          <t>Pendiente</t>
        </is>
      </c>
      <c r="F130" s="9" t="n"/>
      <c r="G130" s="6" t="n"/>
      <c r="H130" s="6" t="inlineStr">
        <is>
          <t>No</t>
        </is>
      </c>
      <c r="I130" s="10" t="n"/>
      <c r="J130" s="6" t="n">
        <v>1</v>
      </c>
    </row>
    <row r="131">
      <c r="A131" s="6" t="inlineStr">
        <is>
          <t>15.3</t>
        </is>
      </c>
      <c r="B131" s="7" t="inlineStr">
        <is>
          <t>Sala de espera</t>
        </is>
      </c>
      <c r="C131" s="8" t="inlineStr">
        <is>
          <t>Angel Quisbert</t>
        </is>
      </c>
      <c r="D131" s="8" t="inlineStr">
        <is>
          <t>Sergio Esteban Zambrana Fariñas</t>
        </is>
      </c>
      <c r="E131" s="6" t="inlineStr">
        <is>
          <t>Pendiente</t>
        </is>
      </c>
      <c r="F131" s="9" t="n"/>
      <c r="G131" s="6" t="n"/>
      <c r="H131" s="6" t="inlineStr">
        <is>
          <t>No</t>
        </is>
      </c>
      <c r="I131" s="10" t="n"/>
      <c r="J131" s="6" t="n">
        <v>1</v>
      </c>
    </row>
    <row r="132">
      <c r="A132" s="6" t="inlineStr">
        <is>
          <t>15.4</t>
        </is>
      </c>
      <c r="B132" s="7" t="inlineStr">
        <is>
          <t>Archivo físico</t>
        </is>
      </c>
      <c r="C132" s="8" t="inlineStr">
        <is>
          <t>Angel Quisbert</t>
        </is>
      </c>
      <c r="D132" s="8" t="inlineStr">
        <is>
          <t>Sergio Esteban Zambrana Fariñas</t>
        </is>
      </c>
      <c r="E132" s="6" t="inlineStr">
        <is>
          <t>Pendiente</t>
        </is>
      </c>
      <c r="F132" s="9" t="n"/>
      <c r="G132" s="6" t="n"/>
      <c r="H132" s="6" t="inlineStr">
        <is>
          <t>No</t>
        </is>
      </c>
      <c r="I132" s="10" t="n"/>
      <c r="J132" s="6" t="n">
        <v>1</v>
      </c>
    </row>
    <row r="133">
      <c r="A133" s="6" t="inlineStr">
        <is>
          <t>15.5</t>
        </is>
      </c>
      <c r="B133" s="7" t="inlineStr">
        <is>
          <t>Archivo digital</t>
        </is>
      </c>
      <c r="C133" s="8" t="inlineStr">
        <is>
          <t>Angel Quisbert</t>
        </is>
      </c>
      <c r="D133" s="8" t="inlineStr">
        <is>
          <t>Sergio Esteban Zambrana Fariñas</t>
        </is>
      </c>
      <c r="E133" s="6" t="inlineStr">
        <is>
          <t>Pendiente</t>
        </is>
      </c>
      <c r="F133" s="9" t="n"/>
      <c r="G133" s="6" t="n"/>
      <c r="H133" s="6" t="inlineStr">
        <is>
          <t>No</t>
        </is>
      </c>
      <c r="I133" s="10" t="n"/>
      <c r="J133" s="6" t="n">
        <v>1</v>
      </c>
    </row>
    <row r="134">
      <c r="A134" s="3" t="inlineStr">
        <is>
          <t>16.</t>
        </is>
      </c>
      <c r="B134" s="4" t="inlineStr">
        <is>
          <t>Disposiciones de ejecución</t>
        </is>
      </c>
      <c r="C134" s="4" t="inlineStr">
        <is>
          <t>Edwin Gutiérrez Zapana</t>
        </is>
      </c>
      <c r="D134" s="4" t="inlineStr">
        <is>
          <t>Adhemar Carlos Palacios Choque</t>
        </is>
      </c>
      <c r="E134" s="3">
        <f>IF(SUMPRODUCT(($J$135:$J$137=1)*($E$135:$E$137="Entregado"))=SUMPRODUCT(($J$135:$J$137=1)*1),"Completo",IF(SUMPRODUCT(($J$135:$J$137=1)*($E$135:$E$137="Pendiente"))=SUMPRODUCT(($J$135:$J$137=1)*1),"Pendiente","En proceso"))</f>
        <v/>
      </c>
      <c r="F134" s="3">
        <f>SUMPRODUCT(($J$135:$J$137=1)*($E$135:$E$137="Entregado"))&amp;" de "&amp;SUMPRODUCT(($J$135:$J$137=1)*1)</f>
        <v/>
      </c>
      <c r="G134" s="3" t="inlineStr">
        <is>
          <t>—</t>
        </is>
      </c>
      <c r="H134" s="3" t="inlineStr">
        <is>
          <t>—</t>
        </is>
      </c>
      <c r="I134" s="5" t="inlineStr"/>
      <c r="J134" s="3" t="n">
        <v>0</v>
      </c>
    </row>
    <row r="135">
      <c r="A135" s="6" t="inlineStr">
        <is>
          <t>16.1</t>
        </is>
      </c>
      <c r="B135" s="7" t="inlineStr">
        <is>
          <t>Cuadro de convalidación y homologación</t>
        </is>
      </c>
      <c r="C135" s="8" t="inlineStr">
        <is>
          <t>Edwin Gutiérrez Zapana</t>
        </is>
      </c>
      <c r="D135" s="8" t="inlineStr">
        <is>
          <t>Adhemar Carlos Palacios Choque</t>
        </is>
      </c>
      <c r="E135" s="6" t="inlineStr">
        <is>
          <t xml:space="preserve">Entregado</t>
        </is>
      </c>
      <c r="F135" s="9" t="n">
        <v>46307</v>
      </c>
      <c r="G135" s="6" t="inlineStr">
        <is>
          <t xml:space="preserve">Word</t>
        </is>
      </c>
      <c r="H135" s="6" t="inlineStr">
        <is>
          <t xml:space="preserve">Sí</t>
        </is>
      </c>
      <c r="I135" s="10" t="inlineStr">
        <is>
          <t xml:space="preserve">Documento 04 Plan de Estudios 2026</t>
        </is>
      </c>
      <c r="J135" s="6" t="n">
        <v>1</v>
      </c>
    </row>
    <row r="136">
      <c r="A136" s="6" t="inlineStr">
        <is>
          <t>16.2</t>
        </is>
      </c>
      <c r="B136" s="7" t="inlineStr">
        <is>
          <t>Plan de implementación</t>
        </is>
      </c>
      <c r="C136" s="8" t="inlineStr">
        <is>
          <t>Gonzalo Terán Gandarillas</t>
        </is>
      </c>
      <c r="D136" s="8" t="inlineStr">
        <is>
          <t>Yesenia Chino Condori</t>
        </is>
      </c>
      <c r="E136" s="6" t="inlineStr">
        <is>
          <t xml:space="preserve">Entregado</t>
        </is>
      </c>
      <c r="F136" s="9" t="n">
        <v>46307</v>
      </c>
      <c r="G136" s="6" t="inlineStr">
        <is>
          <t xml:space="preserve">Word</t>
        </is>
      </c>
      <c r="H136" s="6" t="inlineStr">
        <is>
          <t xml:space="preserve">Sí</t>
        </is>
      </c>
      <c r="I136" s="10" t="inlineStr">
        <is>
          <t xml:space="preserve">Documento 04 Plan de Estudios 2026</t>
        </is>
      </c>
      <c r="J136" s="6" t="n">
        <v>1</v>
      </c>
    </row>
    <row r="137">
      <c r="A137" s="6" t="inlineStr">
        <is>
          <t>16.3</t>
        </is>
      </c>
      <c r="B137" s="7" t="inlineStr">
        <is>
          <t>Política de extinción del plan de estudio</t>
        </is>
      </c>
      <c r="C137" s="8" t="inlineStr">
        <is>
          <t>Gonzalo Terán Gandarillas</t>
        </is>
      </c>
      <c r="D137" s="8" t="inlineStr">
        <is>
          <t>Yesenia Chino Condori</t>
        </is>
      </c>
      <c r="E137" s="6" t="inlineStr">
        <is>
          <t>Pendiente</t>
        </is>
      </c>
      <c r="F137" s="9" t="n"/>
      <c r="G137" s="6" t="n"/>
      <c r="H137" s="6" t="inlineStr">
        <is>
          <t>No</t>
        </is>
      </c>
      <c r="I137" s="10" t="n"/>
      <c r="J137" s="6" t="n">
        <v>1</v>
      </c>
    </row>
  </sheetData>
  <autoFilter ref="A4:I137"/>
  <conditionalFormatting sqref="E5:E137">
    <cfRule type="expression" priority="1" dxfId="0">
      <formula>E5="Entregado"</formula>
    </cfRule>
    <cfRule type="expression" priority="2" dxfId="0">
      <formula>E5="Completo"</formula>
    </cfRule>
    <cfRule type="expression" priority="3" dxfId="1">
      <formula>E5="Parcial"</formula>
    </cfRule>
    <cfRule type="expression" priority="4" dxfId="1">
      <formula>E5="En proceso"</formula>
    </cfRule>
    <cfRule type="expression" priority="5" dxfId="2">
      <formula>E5="Observado"</formula>
    </cfRule>
  </conditionalFormatting>
  <conditionalFormatting sqref="H5:H137">
    <cfRule type="expression" priority="6" dxfId="3">
      <formula>H5="Sí"</formula>
    </cfRule>
  </conditionalFormatting>
  <dataValidations count="4">
    <dataValidation sqref="E6 E7 E8 E9 E10 E11 E12 E13 E14 E15 E16 E17 E18 E20 E21 E22 E23 E24 E25 E26 E28 E29 E30 E31 E32 E35 E36 E37 E38 E39 E41 E42 E43 E44 E45 E46 E47 E49 E50 E51 E52 E53 E55 E56 E57 E58 E60 E61 E62 E63 E64 E65 E66 E67 E68 E69 E70 E71 E73 E74 E75 E76 E78 E79 E81 E82 E84 E85 E86 E87 E88 E89 E91 E92 E93 E94 E96 E97 E98 E99 E100 E101 E102 E103 E104 E105 E106 E107 E109 E110 E111 E113 E114 E116 E117 E119 E120 E121 E122 E123 E124 E125 E126 E127 E129 E130 E131 E132 E133 E135 E136 E137" showDropDown="0" showInputMessage="0" showErrorMessage="1" allowBlank="0" errorTitle="Estado" error="Elija un estado de la lista." type="list">
      <formula1>"Pendiente,Entregado,Parcial,Observado"</formula1>
    </dataValidation>
    <dataValidation sqref="G6 G7 G8 G9 G10 G11 G12 G13 G14 G15 G16 G17 G18 G20 G21 G22 G23 G24 G25 G26 G28 G29 G30 G31 G32 G35 G36 G37 G38 G39 G41 G42 G43 G44 G45 G46 G47 G49 G50 G51 G52 G53 G55 G56 G57 G58 G60 G61 G62 G63 G64 G65 G66 G67 G68 G69 G70 G71 G73 G74 G75 G76 G78 G79 G81 G82 G84 G85 G86 G87 G88 G89 G91 G92 G93 G94 G96 G97 G98 G99 G100 G101 G102 G103 G104 G105 G106 G107 G109 G110 G111 G113 G114 G116 G117 G119 G120 G121 G122 G123 G124 G125 G126 G127 G129 G130 G131 G132 G133 G135 G136 G137" showDropDown="0" showInputMessage="0" showErrorMessage="0" allowBlank="1" type="list">
      <formula1>"Word,PDF,Excel,PowerPoint,Otro"</formula1>
    </dataValidation>
    <dataValidation sqref="H6 H7 H8 H9 H10 H11 H12 H13 H14 H15 H16 H17 H18 H20 H21 H22 H23 H24 H25 H26 H28 H29 H30 H31 H32 H35 H36 H37 H38 H39 H41 H42 H43 H44 H45 H46 H47 H49 H50 H51 H52 H53 H55 H56 H57 H58 H60 H61 H62 H63 H64 H65 H66 H67 H68 H69 H70 H71 H73 H74 H75 H76 H78 H79 H81 H82 H84 H85 H86 H87 H88 H89 H91 H92 H93 H94 H96 H97 H98 H99 H100 H101 H102 H103 H104 H105 H106 H107 H109 H110 H111 H113 H114 H116 H117 H119 H120 H121 H122 H123 H124 H125 H126 H127 H129 H130 H131 H132 H133 H135 H136 H137" showDropDown="0" showInputMessage="0" showErrorMessage="0" allowBlank="0" type="list">
      <formula1>"Sí,No"</formula1>
    </dataValidation>
    <dataValidation sqref="F6 F7 F8 F9 F10 F11 F12 F13 F14 F15 F16 F17 F18 F20 F21 F22 F23 F24 F25 F26 F28 F29 F30 F31 F32 F35 F36 F37 F38 F39 F41 F42 F43 F44 F45 F46 F47 F49 F50 F51 F52 F53 F55 F56 F57 F58 F60 F61 F62 F63 F64 F65 F66 F67 F68 F69 F70 F71 F73 F74 F75 F76 F78 F79 F81 F82 F84 F85 F86 F87 F88 F89 F91 F92 F93 F94 F96 F97 F98 F99 F100 F101 F102 F103 F104 F105 F106 F107 F109 F110 F111 F113 F114 F116 F117 F119 F120 F121 F122 F123 F124 F125 F126 F127 F129 F130 F131 F132 F133 F135 F136 F137" showDropDown="0" showInputMessage="0" showErrorMessage="1" allowBlank="1" errorTitle="Fecha" error="Ingrese una fecha válida (dd/mm/aaaa)." type="date" operator="greaterThan">
      <formula1>45658</formula1>
    </dataValidation>
  </dataValidations>
  <printOptions horizontalCentered="1"/>
  <pageMargins left="0.4" right="0.4" top="0.5" bottom="0.5" header="0.5" footer="0.5"/>
  <pageSetup orientation="landscape" paperSize="1" fitToHeight="0" fitToWidth="1"/>
  <headerFooter>
    <oddHeader/>
    <oddFooter>&amp;R&amp;"Century Gothic"Página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21"/>
  <sheetViews>
    <sheetView workbookViewId="0">
      <pane ySplit="4" topLeftCell="A5" activePane="bottomLeft" state="frozen"/>
      <selection pane="bottomLeft" activeCell="A1" sqref="A1"/>
    </sheetView>
  </sheetViews>
  <sheetFormatPr baseColWidth="8" defaultRowHeight="15"/>
  <cols>
    <col width="8" customWidth="1" min="1" max="1"/>
    <col width="50" customWidth="1" min="2" max="2"/>
    <col width="9" customWidth="1" min="3" max="3"/>
    <col width="12" customWidth="1" min="4" max="4"/>
    <col width="11" customWidth="1" min="5" max="5"/>
    <col width="12" customWidth="1" min="6" max="6"/>
    <col width="12" customWidth="1" min="7" max="7"/>
    <col width="11" customWidth="1" min="8" max="8"/>
  </cols>
  <sheetData>
    <row r="1">
      <c r="A1" s="1" t="inlineStr">
        <is>
          <t>Resumen de avance por punto</t>
        </is>
      </c>
    </row>
    <row r="2">
      <c r="A2" s="2" t="inlineStr">
        <is>
          <t>Se calcula solo con los ítems entregables de la hoja Checklist.</t>
        </is>
      </c>
    </row>
    <row r="4">
      <c r="A4" s="3" t="inlineStr">
        <is>
          <t>Punto</t>
        </is>
      </c>
      <c r="B4" s="3" t="inlineStr">
        <is>
          <t>Título</t>
        </is>
      </c>
      <c r="C4" s="3" t="inlineStr">
        <is>
          <t>Ítems</t>
        </is>
      </c>
      <c r="D4" s="3" t="inlineStr">
        <is>
          <t>Entregados</t>
        </is>
      </c>
      <c r="E4" s="3" t="inlineStr">
        <is>
          <t>Parciales</t>
        </is>
      </c>
      <c r="F4" s="3" t="inlineStr">
        <is>
          <t>Observados</t>
        </is>
      </c>
      <c r="G4" s="3" t="inlineStr">
        <is>
          <t>Pendientes</t>
        </is>
      </c>
      <c r="H4" s="3" t="inlineStr">
        <is>
          <t>Avance</t>
        </is>
      </c>
    </row>
    <row r="5">
      <c r="A5" s="6" t="n">
        <v>1</v>
      </c>
      <c r="B5" s="8" t="inlineStr">
        <is>
          <t>Identificación del programa/carrera</t>
        </is>
      </c>
      <c r="C5" s="6">
        <f>COUNTIFS(Checklist!$A$5:$A$137,"1.*",Checklist!$J$5:$J$137,1)</f>
        <v/>
      </c>
      <c r="D5" s="6">
        <f>COUNTIFS(Checklist!$A$5:$A$137,"1.*",Checklist!$J$5:$J$137,1,Checklist!$E$5:$E$137,"Entregado")</f>
        <v/>
      </c>
      <c r="E5" s="6">
        <f>COUNTIFS(Checklist!$A$5:$A$137,"1.*",Checklist!$J$5:$J$137,1,Checklist!$E$5:$E$137,"Parcial")</f>
        <v/>
      </c>
      <c r="F5" s="6">
        <f>COUNTIFS(Checklist!$A$5:$A$137,"1.*",Checklist!$J$5:$J$137,1,Checklist!$E$5:$E$137,"Observado")</f>
        <v/>
      </c>
      <c r="G5" s="6">
        <f>COUNTIFS(Checklist!$A$5:$A$137,"1.*",Checklist!$J$5:$J$137,1,Checklist!$E$5:$E$137,"Pendiente")</f>
        <v/>
      </c>
      <c r="H5" s="20">
        <f>IF(C5=0,0,D5/C5)</f>
        <v/>
      </c>
    </row>
    <row r="6">
      <c r="A6" s="6" t="n">
        <v>2</v>
      </c>
      <c r="B6" s="8" t="inlineStr">
        <is>
          <t>Antecedentes</t>
        </is>
      </c>
      <c r="C6" s="6">
        <f>COUNTIFS(Checklist!$A$5:$A$137,"2.*",Checklist!$J$5:$J$137,1)</f>
        <v/>
      </c>
      <c r="D6" s="6">
        <f>COUNTIFS(Checklist!$A$5:$A$137,"2.*",Checklist!$J$5:$J$137,1,Checklist!$E$5:$E$137,"Entregado")</f>
        <v/>
      </c>
      <c r="E6" s="6">
        <f>COUNTIFS(Checklist!$A$5:$A$137,"2.*",Checklist!$J$5:$J$137,1,Checklist!$E$5:$E$137,"Parcial")</f>
        <v/>
      </c>
      <c r="F6" s="6">
        <f>COUNTIFS(Checklist!$A$5:$A$137,"2.*",Checklist!$J$5:$J$137,1,Checklist!$E$5:$E$137,"Observado")</f>
        <v/>
      </c>
      <c r="G6" s="6">
        <f>COUNTIFS(Checklist!$A$5:$A$137,"2.*",Checklist!$J$5:$J$137,1,Checklist!$E$5:$E$137,"Pendiente")</f>
        <v/>
      </c>
      <c r="H6" s="20">
        <f>IF(C6=0,0,D6/C6)</f>
        <v/>
      </c>
    </row>
    <row r="7">
      <c r="A7" s="6" t="n">
        <v>3</v>
      </c>
      <c r="B7" s="8" t="inlineStr">
        <is>
          <t>Justificación de la innovación curricular (solo para niveles de diseño, rediseño y ajustes)</t>
        </is>
      </c>
      <c r="C7" s="6">
        <f>COUNTIFS(Checklist!$A$5:$A$137,"3.*",Checklist!$J$5:$J$137,1)</f>
        <v/>
      </c>
      <c r="D7" s="6">
        <f>COUNTIFS(Checklist!$A$5:$A$137,"3.*",Checklist!$J$5:$J$137,1,Checklist!$E$5:$E$137,"Entregado")</f>
        <v/>
      </c>
      <c r="E7" s="6">
        <f>COUNTIFS(Checklist!$A$5:$A$137,"3.*",Checklist!$J$5:$J$137,1,Checklist!$E$5:$E$137,"Parcial")</f>
        <v/>
      </c>
      <c r="F7" s="6">
        <f>COUNTIFS(Checklist!$A$5:$A$137,"3.*",Checklist!$J$5:$J$137,1,Checklist!$E$5:$E$137,"Observado")</f>
        <v/>
      </c>
      <c r="G7" s="6">
        <f>COUNTIFS(Checklist!$A$5:$A$137,"3.*",Checklist!$J$5:$J$137,1,Checklist!$E$5:$E$137,"Pendiente")</f>
        <v/>
      </c>
      <c r="H7" s="20">
        <f>IF(C7=0,0,D7/C7)</f>
        <v/>
      </c>
    </row>
    <row r="8">
      <c r="A8" s="6" t="n">
        <v>4</v>
      </c>
      <c r="B8" s="8" t="inlineStr">
        <is>
          <t>Aspectos académicos</t>
        </is>
      </c>
      <c r="C8" s="6">
        <f>COUNTIFS(Checklist!$A$5:$A$137,"4.*",Checklist!$J$5:$J$137,1)</f>
        <v/>
      </c>
      <c r="D8" s="6">
        <f>COUNTIFS(Checklist!$A$5:$A$137,"4.*",Checklist!$J$5:$J$137,1,Checklist!$E$5:$E$137,"Entregado")</f>
        <v/>
      </c>
      <c r="E8" s="6">
        <f>COUNTIFS(Checklist!$A$5:$A$137,"4.*",Checklist!$J$5:$J$137,1,Checklist!$E$5:$E$137,"Parcial")</f>
        <v/>
      </c>
      <c r="F8" s="6">
        <f>COUNTIFS(Checklist!$A$5:$A$137,"4.*",Checklist!$J$5:$J$137,1,Checklist!$E$5:$E$137,"Observado")</f>
        <v/>
      </c>
      <c r="G8" s="6">
        <f>COUNTIFS(Checklist!$A$5:$A$137,"4.*",Checklist!$J$5:$J$137,1,Checklist!$E$5:$E$137,"Pendiente")</f>
        <v/>
      </c>
      <c r="H8" s="20">
        <f>IF(C8=0,0,D8/C8)</f>
        <v/>
      </c>
    </row>
    <row r="9">
      <c r="A9" s="6" t="n">
        <v>5</v>
      </c>
      <c r="B9" s="8" t="inlineStr">
        <is>
          <t>Admisión, promoción y graduación</t>
        </is>
      </c>
      <c r="C9" s="6">
        <f>COUNTIFS(Checklist!$A$5:$A$137,"5.*",Checklist!$J$5:$J$137,1)</f>
        <v/>
      </c>
      <c r="D9" s="6">
        <f>COUNTIFS(Checklist!$A$5:$A$137,"5.*",Checklist!$J$5:$J$137,1,Checklist!$E$5:$E$137,"Entregado")</f>
        <v/>
      </c>
      <c r="E9" s="6">
        <f>COUNTIFS(Checklist!$A$5:$A$137,"5.*",Checklist!$J$5:$J$137,1,Checklist!$E$5:$E$137,"Parcial")</f>
        <v/>
      </c>
      <c r="F9" s="6">
        <f>COUNTIFS(Checklist!$A$5:$A$137,"5.*",Checklist!$J$5:$J$137,1,Checklist!$E$5:$E$137,"Observado")</f>
        <v/>
      </c>
      <c r="G9" s="6">
        <f>COUNTIFS(Checklist!$A$5:$A$137,"5.*",Checklist!$J$5:$J$137,1,Checklist!$E$5:$E$137,"Pendiente")</f>
        <v/>
      </c>
      <c r="H9" s="20">
        <f>IF(C9=0,0,D9/C9)</f>
        <v/>
      </c>
    </row>
    <row r="10">
      <c r="A10" s="6" t="n">
        <v>6</v>
      </c>
      <c r="B10" s="8" t="inlineStr">
        <is>
          <t>Investigación (articulada con los institutos o unidades de investigación relacionados con la carrera/programa)</t>
        </is>
      </c>
      <c r="C10" s="6">
        <f>COUNTIFS(Checklist!$A$5:$A$137,"6.*",Checklist!$J$5:$J$137,1)</f>
        <v/>
      </c>
      <c r="D10" s="6">
        <f>COUNTIFS(Checklist!$A$5:$A$137,"6.*",Checklist!$J$5:$J$137,1,Checklist!$E$5:$E$137,"Entregado")</f>
        <v/>
      </c>
      <c r="E10" s="6">
        <f>COUNTIFS(Checklist!$A$5:$A$137,"6.*",Checklist!$J$5:$J$137,1,Checklist!$E$5:$E$137,"Parcial")</f>
        <v/>
      </c>
      <c r="F10" s="6">
        <f>COUNTIFS(Checklist!$A$5:$A$137,"6.*",Checklist!$J$5:$J$137,1,Checklist!$E$5:$E$137,"Observado")</f>
        <v/>
      </c>
      <c r="G10" s="6">
        <f>COUNTIFS(Checklist!$A$5:$A$137,"6.*",Checklist!$J$5:$J$137,1,Checklist!$E$5:$E$137,"Pendiente")</f>
        <v/>
      </c>
      <c r="H10" s="20">
        <f>IF(C10=0,0,D10/C10)</f>
        <v/>
      </c>
    </row>
    <row r="11">
      <c r="A11" s="6" t="n">
        <v>7</v>
      </c>
      <c r="B11" s="8" t="inlineStr">
        <is>
          <t>Interacción social y extensión universitaria</t>
        </is>
      </c>
      <c r="C11" s="6">
        <f>COUNTIFS(Checklist!$A$5:$A$137,"7.*",Checklist!$J$5:$J$137,1)</f>
        <v/>
      </c>
      <c r="D11" s="6">
        <f>COUNTIFS(Checklist!$A$5:$A$137,"7.*",Checklist!$J$5:$J$137,1,Checklist!$E$5:$E$137,"Entregado")</f>
        <v/>
      </c>
      <c r="E11" s="6">
        <f>COUNTIFS(Checklist!$A$5:$A$137,"7.*",Checklist!$J$5:$J$137,1,Checklist!$E$5:$E$137,"Parcial")</f>
        <v/>
      </c>
      <c r="F11" s="6">
        <f>COUNTIFS(Checklist!$A$5:$A$137,"7.*",Checklist!$J$5:$J$137,1,Checklist!$E$5:$E$137,"Observado")</f>
        <v/>
      </c>
      <c r="G11" s="6">
        <f>COUNTIFS(Checklist!$A$5:$A$137,"7.*",Checklist!$J$5:$J$137,1,Checklist!$E$5:$E$137,"Pendiente")</f>
        <v/>
      </c>
      <c r="H11" s="20">
        <f>IF(C11=0,0,D11/C11)</f>
        <v/>
      </c>
    </row>
    <row r="12">
      <c r="A12" s="6" t="n">
        <v>8</v>
      </c>
      <c r="B12" s="8" t="inlineStr">
        <is>
          <t>Organización del proceso curricular</t>
        </is>
      </c>
      <c r="C12" s="6">
        <f>COUNTIFS(Checklist!$A$5:$A$137,"8.*",Checklist!$J$5:$J$137,1)</f>
        <v/>
      </c>
      <c r="D12" s="6">
        <f>COUNTIFS(Checklist!$A$5:$A$137,"8.*",Checklist!$J$5:$J$137,1,Checklist!$E$5:$E$137,"Entregado")</f>
        <v/>
      </c>
      <c r="E12" s="6">
        <f>COUNTIFS(Checklist!$A$5:$A$137,"8.*",Checklist!$J$5:$J$137,1,Checklist!$E$5:$E$137,"Parcial")</f>
        <v/>
      </c>
      <c r="F12" s="6">
        <f>COUNTIFS(Checklist!$A$5:$A$137,"8.*",Checklist!$J$5:$J$137,1,Checklist!$E$5:$E$137,"Observado")</f>
        <v/>
      </c>
      <c r="G12" s="6">
        <f>COUNTIFS(Checklist!$A$5:$A$137,"8.*",Checklist!$J$5:$J$137,1,Checklist!$E$5:$E$137,"Pendiente")</f>
        <v/>
      </c>
      <c r="H12" s="20">
        <f>IF(C12=0,0,D12/C12)</f>
        <v/>
      </c>
    </row>
    <row r="13">
      <c r="A13" s="6" t="n">
        <v>9</v>
      </c>
      <c r="B13" s="8" t="inlineStr">
        <is>
          <t>Material Bibliográfico</t>
        </is>
      </c>
      <c r="C13" s="6">
        <f>COUNTIFS(Checklist!$A$5:$A$137,"9.*",Checklist!$J$5:$J$137,1)</f>
        <v/>
      </c>
      <c r="D13" s="6">
        <f>COUNTIFS(Checklist!$A$5:$A$137,"9.*",Checklist!$J$5:$J$137,1,Checklist!$E$5:$E$137,"Entregado")</f>
        <v/>
      </c>
      <c r="E13" s="6">
        <f>COUNTIFS(Checklist!$A$5:$A$137,"9.*",Checklist!$J$5:$J$137,1,Checklist!$E$5:$E$137,"Parcial")</f>
        <v/>
      </c>
      <c r="F13" s="6">
        <f>COUNTIFS(Checklist!$A$5:$A$137,"9.*",Checklist!$J$5:$J$137,1,Checklist!$E$5:$E$137,"Observado")</f>
        <v/>
      </c>
      <c r="G13" s="6">
        <f>COUNTIFS(Checklist!$A$5:$A$137,"9.*",Checklist!$J$5:$J$137,1,Checklist!$E$5:$E$137,"Pendiente")</f>
        <v/>
      </c>
      <c r="H13" s="20">
        <f>IF(C13=0,0,D13/C13)</f>
        <v/>
      </c>
    </row>
    <row r="14">
      <c r="A14" s="6" t="n">
        <v>10</v>
      </c>
      <c r="B14" s="8" t="inlineStr">
        <is>
          <t>Recursos educativos</t>
        </is>
      </c>
      <c r="C14" s="6">
        <f>COUNTIFS(Checklist!$A$5:$A$137,"10.*",Checklist!$J$5:$J$137,1)</f>
        <v/>
      </c>
      <c r="D14" s="6">
        <f>COUNTIFS(Checklist!$A$5:$A$137,"10.*",Checklist!$J$5:$J$137,1,Checklist!$E$5:$E$137,"Entregado")</f>
        <v/>
      </c>
      <c r="E14" s="6">
        <f>COUNTIFS(Checklist!$A$5:$A$137,"10.*",Checklist!$J$5:$J$137,1,Checklist!$E$5:$E$137,"Parcial")</f>
        <v/>
      </c>
      <c r="F14" s="6">
        <f>COUNTIFS(Checklist!$A$5:$A$137,"10.*",Checklist!$J$5:$J$137,1,Checklist!$E$5:$E$137,"Observado")</f>
        <v/>
      </c>
      <c r="G14" s="6">
        <f>COUNTIFS(Checklist!$A$5:$A$137,"10.*",Checklist!$J$5:$J$137,1,Checklist!$E$5:$E$137,"Pendiente")</f>
        <v/>
      </c>
      <c r="H14" s="20">
        <f>IF(C14=0,0,D14/C14)</f>
        <v/>
      </c>
    </row>
    <row r="15">
      <c r="A15" s="6" t="n">
        <v>11</v>
      </c>
      <c r="B15" s="8" t="inlineStr">
        <is>
          <t>Implementación del proyecto curricular</t>
        </is>
      </c>
      <c r="C15" s="6">
        <f>COUNTIFS(Checklist!$A$5:$A$137,"11.*",Checklist!$J$5:$J$137,1)</f>
        <v/>
      </c>
      <c r="D15" s="6">
        <f>COUNTIFS(Checklist!$A$5:$A$137,"11.*",Checklist!$J$5:$J$137,1,Checklist!$E$5:$E$137,"Entregado")</f>
        <v/>
      </c>
      <c r="E15" s="6">
        <f>COUNTIFS(Checklist!$A$5:$A$137,"11.*",Checklist!$J$5:$J$137,1,Checklist!$E$5:$E$137,"Parcial")</f>
        <v/>
      </c>
      <c r="F15" s="6">
        <f>COUNTIFS(Checklist!$A$5:$A$137,"11.*",Checklist!$J$5:$J$137,1,Checklist!$E$5:$E$137,"Observado")</f>
        <v/>
      </c>
      <c r="G15" s="6">
        <f>COUNTIFS(Checklist!$A$5:$A$137,"11.*",Checklist!$J$5:$J$137,1,Checklist!$E$5:$E$137,"Pendiente")</f>
        <v/>
      </c>
      <c r="H15" s="20">
        <f>IF(C15=0,0,D15/C15)</f>
        <v/>
      </c>
    </row>
    <row r="16">
      <c r="A16" s="6" t="n">
        <v>12</v>
      </c>
      <c r="B16" s="8" t="inlineStr">
        <is>
          <t>Evaluación Curricular</t>
        </is>
      </c>
      <c r="C16" s="6">
        <f>COUNTIFS(Checklist!$A$5:$A$137,"12.*",Checklist!$J$5:$J$137,1)</f>
        <v/>
      </c>
      <c r="D16" s="6">
        <f>COUNTIFS(Checklist!$A$5:$A$137,"12.*",Checklist!$J$5:$J$137,1,Checklist!$E$5:$E$137,"Entregado")</f>
        <v/>
      </c>
      <c r="E16" s="6">
        <f>COUNTIFS(Checklist!$A$5:$A$137,"12.*",Checklist!$J$5:$J$137,1,Checklist!$E$5:$E$137,"Parcial")</f>
        <v/>
      </c>
      <c r="F16" s="6">
        <f>COUNTIFS(Checklist!$A$5:$A$137,"12.*",Checklist!$J$5:$J$137,1,Checklist!$E$5:$E$137,"Observado")</f>
        <v/>
      </c>
      <c r="G16" s="6">
        <f>COUNTIFS(Checklist!$A$5:$A$137,"12.*",Checklist!$J$5:$J$137,1,Checklist!$E$5:$E$137,"Pendiente")</f>
        <v/>
      </c>
      <c r="H16" s="20">
        <f>IF(C16=0,0,D16/C16)</f>
        <v/>
      </c>
    </row>
    <row r="17">
      <c r="A17" s="6" t="n">
        <v>13</v>
      </c>
      <c r="B17" s="8" t="inlineStr">
        <is>
          <t>Reglamentación</t>
        </is>
      </c>
      <c r="C17" s="6">
        <f>COUNTIFS(Checklist!$A$5:$A$137,"13.*",Checklist!$J$5:$J$137,1)</f>
        <v/>
      </c>
      <c r="D17" s="6">
        <f>COUNTIFS(Checklist!$A$5:$A$137,"13.*",Checklist!$J$5:$J$137,1,Checklist!$E$5:$E$137,"Entregado")</f>
        <v/>
      </c>
      <c r="E17" s="6">
        <f>COUNTIFS(Checklist!$A$5:$A$137,"13.*",Checklist!$J$5:$J$137,1,Checklist!$E$5:$E$137,"Parcial")</f>
        <v/>
      </c>
      <c r="F17" s="6">
        <f>COUNTIFS(Checklist!$A$5:$A$137,"13.*",Checklist!$J$5:$J$137,1,Checklist!$E$5:$E$137,"Observado")</f>
        <v/>
      </c>
      <c r="G17" s="6">
        <f>COUNTIFS(Checklist!$A$5:$A$137,"13.*",Checklist!$J$5:$J$137,1,Checklist!$E$5:$E$137,"Pendiente")</f>
        <v/>
      </c>
      <c r="H17" s="20">
        <f>IF(C17=0,0,D17/C17)</f>
        <v/>
      </c>
    </row>
    <row r="18">
      <c r="A18" s="6" t="n">
        <v>14</v>
      </c>
      <c r="B18" s="8" t="inlineStr">
        <is>
          <t>Infraestructura y equipamiento</t>
        </is>
      </c>
      <c r="C18" s="6">
        <f>COUNTIFS(Checklist!$A$5:$A$137,"14.*",Checklist!$J$5:$J$137,1)</f>
        <v/>
      </c>
      <c r="D18" s="6">
        <f>COUNTIFS(Checklist!$A$5:$A$137,"14.*",Checklist!$J$5:$J$137,1,Checklist!$E$5:$E$137,"Entregado")</f>
        <v/>
      </c>
      <c r="E18" s="6">
        <f>COUNTIFS(Checklist!$A$5:$A$137,"14.*",Checklist!$J$5:$J$137,1,Checklist!$E$5:$E$137,"Parcial")</f>
        <v/>
      </c>
      <c r="F18" s="6">
        <f>COUNTIFS(Checklist!$A$5:$A$137,"14.*",Checklist!$J$5:$J$137,1,Checklist!$E$5:$E$137,"Observado")</f>
        <v/>
      </c>
      <c r="G18" s="6">
        <f>COUNTIFS(Checklist!$A$5:$A$137,"14.*",Checklist!$J$5:$J$137,1,Checklist!$E$5:$E$137,"Pendiente")</f>
        <v/>
      </c>
      <c r="H18" s="20">
        <f>IF(C18=0,0,D18/C18)</f>
        <v/>
      </c>
    </row>
    <row r="19">
      <c r="A19" s="6" t="n">
        <v>15</v>
      </c>
      <c r="B19" s="8" t="inlineStr">
        <is>
          <t>Mobiliario, equipamiento y materiales</t>
        </is>
      </c>
      <c r="C19" s="6">
        <f>COUNTIFS(Checklist!$A$5:$A$137,"15.*",Checklist!$J$5:$J$137,1)</f>
        <v/>
      </c>
      <c r="D19" s="6">
        <f>COUNTIFS(Checklist!$A$5:$A$137,"15.*",Checklist!$J$5:$J$137,1,Checklist!$E$5:$E$137,"Entregado")</f>
        <v/>
      </c>
      <c r="E19" s="6">
        <f>COUNTIFS(Checklist!$A$5:$A$137,"15.*",Checklist!$J$5:$J$137,1,Checklist!$E$5:$E$137,"Parcial")</f>
        <v/>
      </c>
      <c r="F19" s="6">
        <f>COUNTIFS(Checklist!$A$5:$A$137,"15.*",Checklist!$J$5:$J$137,1,Checklist!$E$5:$E$137,"Observado")</f>
        <v/>
      </c>
      <c r="G19" s="6">
        <f>COUNTIFS(Checklist!$A$5:$A$137,"15.*",Checklist!$J$5:$J$137,1,Checklist!$E$5:$E$137,"Pendiente")</f>
        <v/>
      </c>
      <c r="H19" s="20">
        <f>IF(C19=0,0,D19/C19)</f>
        <v/>
      </c>
    </row>
    <row r="20">
      <c r="A20" s="6" t="n">
        <v>16</v>
      </c>
      <c r="B20" s="8" t="inlineStr">
        <is>
          <t>Disposiciones de ejecución</t>
        </is>
      </c>
      <c r="C20" s="6">
        <f>COUNTIFS(Checklist!$A$5:$A$137,"16.*",Checklist!$J$5:$J$137,1)</f>
        <v/>
      </c>
      <c r="D20" s="6">
        <f>COUNTIFS(Checklist!$A$5:$A$137,"16.*",Checklist!$J$5:$J$137,1,Checklist!$E$5:$E$137,"Entregado")</f>
        <v/>
      </c>
      <c r="E20" s="6">
        <f>COUNTIFS(Checklist!$A$5:$A$137,"16.*",Checklist!$J$5:$J$137,1,Checklist!$E$5:$E$137,"Parcial")</f>
        <v/>
      </c>
      <c r="F20" s="6">
        <f>COUNTIFS(Checklist!$A$5:$A$137,"16.*",Checklist!$J$5:$J$137,1,Checklist!$E$5:$E$137,"Observado")</f>
        <v/>
      </c>
      <c r="G20" s="6">
        <f>COUNTIFS(Checklist!$A$5:$A$137,"16.*",Checklist!$J$5:$J$137,1,Checklist!$E$5:$E$137,"Pendiente")</f>
        <v/>
      </c>
      <c r="H20" s="20">
        <f>IF(C20=0,0,D20/C20)</f>
        <v/>
      </c>
    </row>
    <row r="21">
      <c r="A21" s="21" t="n"/>
      <c r="B21" s="22" t="inlineStr">
        <is>
          <t>TOTAL</t>
        </is>
      </c>
      <c r="C21" s="21">
        <f>SUM(C5:C20)</f>
        <v/>
      </c>
      <c r="D21" s="21">
        <f>SUM(D5:D20)</f>
        <v/>
      </c>
      <c r="E21" s="21">
        <f>SUM(E5:E20)</f>
        <v/>
      </c>
      <c r="F21" s="21">
        <f>SUM(F5:F20)</f>
        <v/>
      </c>
      <c r="G21" s="21">
        <f>SUM(G5:G20)</f>
        <v/>
      </c>
      <c r="H21" s="23">
        <f>IF(C21=0,0,D21/C21)</f>
        <v/>
      </c>
    </row>
  </sheetData>
  <conditionalFormatting sqref="H5:H20">
    <cfRule type="dataBar" priority="1">
      <dataBar>
        <cfvo type="num" val="0"/>
        <cfvo type="num" val="1"/>
        <color rgb="004472C4"/>
      </dataBar>
    </cfRule>
  </conditionalFormatting>
  <pageMargins left="0.75" right="0.75" top="1" bottom="1" header="0.5" footer="0.5"/>
  <pageSetup orientation="portrait" paperSize="1"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2026-10-12T03:00:20Z</dcterms:created>
  <dcterms:modified xmlns:dcterms="http://purl.org/dc/terms/" xmlns:xsi="http://www.w3.org/2001/XMLSchema-instance" xsi:type="dcterms:W3CDTF">2026-10-12T03:20:31Z</dcterms:modified>
</cp:coreProperties>
</file>