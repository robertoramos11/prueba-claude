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Resumen" sheetId="2" state="visible" r:id="rId2"/>
  </sheets>
  <definedNames>
    <definedName name="_xlnm._FilterDatabase" localSheetId="0" hidden="1">'Checklist'!$A$4:$I$137</definedName>
    <definedName name="_xlnm.Print_Titles" localSheetId="0">'Checklist'!$4:$4</definedName>
  </definedNames>
  <calcPr calcId="12451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Century Gothic"/>
      <b val="1"/>
      <color rgb="004472C4"/>
      <sz val="14"/>
    </font>
    <font>
      <name val="Century Gothic"/>
      <i val="1"/>
      <color rgb="00595959"/>
      <sz val="10"/>
    </font>
    <font>
      <name val="Century Gothic"/>
      <b val="1"/>
      <color rgb="00FFFFFF"/>
      <sz val="10"/>
    </font>
    <font>
      <name val="Century Gothic"/>
      <sz val="10"/>
    </font>
    <font>
      <name val="Century Gothic"/>
      <b val="1"/>
      <sz val="10"/>
    </font>
  </fonts>
  <fills count="4">
    <fill>
      <patternFill/>
    </fill>
    <fill>
      <patternFill patternType="gray125"/>
    </fill>
    <fill>
      <patternFill patternType="solid">
        <fgColor rgb="004472C4"/>
      </patternFill>
    </fill>
    <fill>
      <patternFill patternType="solid">
        <fgColor rgb="00D9E2F3"/>
      </patternFill>
    </fill>
  </fills>
  <borders count="2">
    <border>
      <left/>
      <right/>
      <top/>
      <bottom/>
      <diagonal/>
    </border>
    <border>
      <left style="thin">
        <color rgb="008EAADB"/>
      </left>
      <right style="thin">
        <color rgb="008EAADB"/>
      </right>
      <top style="thin">
        <color rgb="008EAADB"/>
      </top>
      <bottom style="thin">
        <color rgb="008EAADB"/>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3" fillId="2" borderId="1" applyAlignment="1" pivotButton="0" quotePrefix="0" xfId="0">
      <alignmen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indent="2"/>
    </xf>
    <xf numFmtId="0" fontId="4" fillId="0" borderId="1" applyAlignment="1" pivotButton="0" quotePrefix="0" xfId="0">
      <alignment horizontal="left" vertical="center" wrapText="1"/>
    </xf>
    <xf numFmtId="164" fontId="4" fillId="0" borderId="1" applyAlignment="1" pivotButton="0" quotePrefix="0" xfId="0">
      <alignment horizontal="center" vertical="center" wrapText="1"/>
    </xf>
    <xf numFmtId="0" fontId="4" fillId="0" borderId="1" applyAlignment="1" pivotButton="0" quotePrefix="0" xfId="0">
      <alignment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indent="1"/>
    </xf>
    <xf numFmtId="0" fontId="5" fillId="3" borderId="1" applyAlignment="1" pivotButton="0" quotePrefix="0" xfId="0">
      <alignment horizontal="left" vertical="center" wrapText="1"/>
    </xf>
    <xf numFmtId="0" fontId="5" fillId="3" borderId="1" applyAlignment="1" pivotButton="0" quotePrefix="0" xfId="0">
      <alignmen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left" vertical="center" wrapText="1"/>
    </xf>
    <xf numFmtId="164" fontId="5" fillId="0" borderId="1" applyAlignment="1" pivotButton="0" quotePrefix="0" xfId="0">
      <alignment horizontal="center" vertical="center" wrapText="1"/>
    </xf>
    <xf numFmtId="0" fontId="5" fillId="0" borderId="1" applyAlignment="1" pivotButton="0" quotePrefix="0" xfId="0">
      <alignment vertical="center" wrapText="1"/>
    </xf>
    <xf numFmtId="9" fontId="4" fillId="0" borderId="1" applyAlignment="1" pivotButton="0" quotePrefix="0" xfId="0">
      <alignment horizontal="center" vertical="center" wrapText="1"/>
    </xf>
    <xf numFmtId="0" fontId="5" fillId="3" borderId="1" applyAlignment="1" pivotButton="0" quotePrefix="0" xfId="0">
      <alignment horizontal="center" vertical="center"/>
    </xf>
    <xf numFmtId="0" fontId="5" fillId="3" borderId="1" applyAlignment="1" pivotButton="0" quotePrefix="0" xfId="0">
      <alignment horizontal="left" vertical="center"/>
    </xf>
    <xf numFmtId="9" fontId="5" fillId="3" borderId="1" applyAlignment="1" pivotButton="0" quotePrefix="0" xfId="0">
      <alignment horizontal="center" vertical="center"/>
    </xf>
  </cellXfs>
  <cellStyles count="1">
    <cellStyle name="Normal" xfId="0" builtinId="0" hidden="0"/>
  </cellStyles>
  <dxfs count="4">
    <dxf>
      <font>
        <name val="Century Gothic"/>
        <b val="1"/>
        <color rgb="00006100"/>
      </font>
      <fill>
        <patternFill patternType="solid">
          <fgColor rgb="00C6EFCE"/>
        </patternFill>
      </fill>
    </dxf>
    <dxf>
      <font>
        <name val="Century Gothic"/>
        <b val="1"/>
        <color rgb="009C5700"/>
      </font>
      <fill>
        <patternFill patternType="solid">
          <fgColor rgb="00FFEB9C"/>
        </patternFill>
      </fill>
    </dxf>
    <dxf>
      <font>
        <name val="Century Gothic"/>
        <b val="1"/>
        <color rgb="009C0006"/>
      </font>
      <fill>
        <patternFill patternType="solid">
          <fgColor rgb="00FFC7CE"/>
        </patternFill>
      </fill>
    </dxf>
    <dxf>
      <font>
        <color rgb="0000610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3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8" customWidth="1" min="2" max="2"/>
    <col width="30" customWidth="1" min="3" max="3"/>
    <col width="30" customWidth="1" min="4" max="4"/>
    <col width="15" customWidth="1" min="5" max="5"/>
    <col width="13" customWidth="1" min="6" max="6"/>
    <col width="13" customWidth="1" min="7" max="7"/>
    <col width="12" customWidth="1" min="8" max="8"/>
    <col width="40" customWidth="1" min="9" max="9"/>
    <col hidden="1" width="6" customWidth="1" min="10" max="10"/>
  </cols>
  <sheetData>
    <row r="1">
      <c r="A1" s="1" t="inlineStr">
        <is>
          <t>Rediseño Curricular 2026 · Control de entregas de las subcomisiones</t>
        </is>
      </c>
    </row>
    <row r="2">
      <c r="A2" s="2" t="inlineStr">
        <is>
          <t>Carrera de Contaduría Pública · Facultad de Ciencias Económicas y Financieras · Universidad Mayor de San Andrés</t>
        </is>
      </c>
    </row>
    <row r="4" ht="30" customHeight="1">
      <c r="A4" s="3" t="inlineStr">
        <is>
          <t>Código</t>
        </is>
      </c>
      <c r="B4" s="3" t="inlineStr">
        <is>
          <t>Punto del índice</t>
        </is>
      </c>
      <c r="C4" s="3" t="inlineStr">
        <is>
          <t>Responsable docente</t>
        </is>
      </c>
      <c r="D4" s="3" t="inlineStr">
        <is>
          <t>Responsable estudiantil</t>
        </is>
      </c>
      <c r="E4" s="3" t="inlineStr">
        <is>
          <t>Estado</t>
        </is>
      </c>
      <c r="F4" s="3" t="inlineStr">
        <is>
          <t>Fecha de recepción</t>
        </is>
      </c>
      <c r="G4" s="3" t="inlineStr">
        <is>
          <t>Formato recibido</t>
        </is>
      </c>
      <c r="H4" s="3" t="inlineStr">
        <is>
          <t>Adaptado al formato</t>
        </is>
      </c>
      <c r="I4" s="3" t="inlineStr">
        <is>
          <t>Observaciones</t>
        </is>
      </c>
      <c r="J4" s="3" t="inlineStr">
        <is>
          <t>Entregable</t>
        </is>
      </c>
    </row>
    <row r="5">
      <c r="A5" s="3" t="inlineStr">
        <is>
          <t>1.</t>
        </is>
      </c>
      <c r="B5" s="4" t="inlineStr">
        <is>
          <t>Identificación del programa/carrera</t>
        </is>
      </c>
      <c r="C5" s="4" t="inlineStr">
        <is>
          <t>Edwin Gutiérrez Zapana</t>
        </is>
      </c>
      <c r="D5" s="4" t="inlineStr">
        <is>
          <t>Alarcon Pablo Alejandro</t>
        </is>
      </c>
      <c r="E5" s="3">
        <f>IF(SUMPRODUCT(($J$6:$J$18=1)*($E$6:$E$18="Entregado"))=SUMPRODUCT(($J$6:$J$18=1)*1),"Completo",IF(SUMPRODUCT(($J$6:$J$18=1)*($E$6:$E$18="Pendiente"))=SUMPRODUCT(($J$6:$J$18=1)*1),"Pendiente","En proceso"))</f>
        <v/>
      </c>
      <c r="F5" s="3">
        <f>SUMPRODUCT(($J$6:$J$18=1)*($E$6:$E$18="Entregado"))&amp;" de "&amp;SUMPRODUCT(($J$6:$J$18=1)*1)</f>
        <v/>
      </c>
      <c r="G5" s="3" t="inlineStr">
        <is>
          <t>—</t>
        </is>
      </c>
      <c r="H5" s="3" t="inlineStr">
        <is>
          <t>—</t>
        </is>
      </c>
      <c r="I5" s="5" t="inlineStr"/>
      <c r="J5" s="3" t="n">
        <v>0</v>
      </c>
    </row>
    <row r="6">
      <c r="A6" s="6" t="inlineStr">
        <is>
          <t>1.1</t>
        </is>
      </c>
      <c r="B6" s="7" t="inlineStr">
        <is>
          <t>Facultad</t>
        </is>
      </c>
      <c r="C6" s="8" t="inlineStr">
        <is>
          <t>Edwin Gutiérrez Zapana</t>
        </is>
      </c>
      <c r="D6" s="8" t="inlineStr">
        <is>
          <t>Alarcon Pablo Alejandro</t>
        </is>
      </c>
      <c r="E6" s="6" t="inlineStr">
        <is>
          <t>Pendiente</t>
        </is>
      </c>
      <c r="F6" s="9" t="n"/>
      <c r="G6" s="6" t="n"/>
      <c r="H6" s="6" t="inlineStr">
        <is>
          <t>No</t>
        </is>
      </c>
      <c r="I6" s="10" t="n"/>
      <c r="J6" s="6" t="n">
        <v>1</v>
      </c>
    </row>
    <row r="7">
      <c r="A7" s="6" t="inlineStr">
        <is>
          <t>1.2</t>
        </is>
      </c>
      <c r="B7" s="7" t="inlineStr">
        <is>
          <t>Programa/carrera</t>
        </is>
      </c>
      <c r="C7" s="8" t="inlineStr">
        <is>
          <t>Edwin Gutiérrez Zapana</t>
        </is>
      </c>
      <c r="D7" s="8" t="inlineStr">
        <is>
          <t>Alarcon Pablo Alejandro</t>
        </is>
      </c>
      <c r="E7" s="6" t="inlineStr">
        <is>
          <t>Pendiente</t>
        </is>
      </c>
      <c r="F7" s="9" t="n"/>
      <c r="G7" s="6" t="n"/>
      <c r="H7" s="6" t="inlineStr">
        <is>
          <t>No</t>
        </is>
      </c>
      <c r="I7" s="10" t="n"/>
      <c r="J7" s="6" t="n">
        <v>1</v>
      </c>
    </row>
    <row r="8">
      <c r="A8" s="6" t="inlineStr">
        <is>
          <t>1.3</t>
        </is>
      </c>
      <c r="B8" s="7" t="inlineStr">
        <is>
          <t>Fecha de creación y Resolución HCU</t>
        </is>
      </c>
      <c r="C8" s="8" t="inlineStr">
        <is>
          <t>Edwin Gutiérrez Zapana</t>
        </is>
      </c>
      <c r="D8" s="8" t="inlineStr">
        <is>
          <t>Alarcon Pablo Alejandro</t>
        </is>
      </c>
      <c r="E8" s="6" t="inlineStr">
        <is>
          <t>Pendiente</t>
        </is>
      </c>
      <c r="F8" s="9" t="n"/>
      <c r="G8" s="6" t="n"/>
      <c r="H8" s="6" t="inlineStr">
        <is>
          <t>No</t>
        </is>
      </c>
      <c r="I8" s="10" t="n"/>
      <c r="J8" s="6" t="n">
        <v>1</v>
      </c>
    </row>
    <row r="9">
      <c r="A9" s="6" t="inlineStr">
        <is>
          <t>1.4</t>
        </is>
      </c>
      <c r="B9" s="7" t="inlineStr">
        <is>
          <t>Resolución(es) HCU que aprobaron planes de estudio anteriores</t>
        </is>
      </c>
      <c r="C9" s="8" t="inlineStr">
        <is>
          <t>Edwin Gutiérrez Zapana</t>
        </is>
      </c>
      <c r="D9" s="8" t="inlineStr">
        <is>
          <t>Alarcon Pablo Alejandro</t>
        </is>
      </c>
      <c r="E9" s="6" t="inlineStr">
        <is>
          <t>Pendiente</t>
        </is>
      </c>
      <c r="F9" s="9" t="n"/>
      <c r="G9" s="6" t="n"/>
      <c r="H9" s="6" t="inlineStr">
        <is>
          <t>No</t>
        </is>
      </c>
      <c r="I9" s="10" t="n"/>
      <c r="J9" s="6" t="n">
        <v>1</v>
      </c>
    </row>
    <row r="10">
      <c r="A10" s="6" t="inlineStr">
        <is>
          <t>1.5</t>
        </is>
      </c>
      <c r="B10" s="7" t="inlineStr">
        <is>
          <t>Grado académico terminal</t>
        </is>
      </c>
      <c r="C10" s="8" t="inlineStr">
        <is>
          <t>Edwin Gutiérrez Zapana</t>
        </is>
      </c>
      <c r="D10" s="8" t="inlineStr">
        <is>
          <t>Alarcon Pablo Alejandro</t>
        </is>
      </c>
      <c r="E10" s="6" t="inlineStr">
        <is>
          <t>Pendiente</t>
        </is>
      </c>
      <c r="F10" s="9" t="n"/>
      <c r="G10" s="6" t="n"/>
      <c r="H10" s="6" t="inlineStr">
        <is>
          <t>No</t>
        </is>
      </c>
      <c r="I10" s="10" t="n"/>
      <c r="J10" s="6" t="n">
        <v>1</v>
      </c>
    </row>
    <row r="11">
      <c r="A11" s="6" t="inlineStr">
        <is>
          <t>1.6</t>
        </is>
      </c>
      <c r="B11" s="7" t="inlineStr">
        <is>
          <t>Grado(s) académico(s) intermedio(s)</t>
        </is>
      </c>
      <c r="C11" s="8" t="inlineStr">
        <is>
          <t>Edwin Gutiérrez Zapana</t>
        </is>
      </c>
      <c r="D11" s="8" t="inlineStr">
        <is>
          <t>Alarcon Pablo Alejandro</t>
        </is>
      </c>
      <c r="E11" s="6" t="inlineStr">
        <is>
          <t>Pendiente</t>
        </is>
      </c>
      <c r="F11" s="9" t="n"/>
      <c r="G11" s="6" t="n"/>
      <c r="H11" s="6" t="inlineStr">
        <is>
          <t>No</t>
        </is>
      </c>
      <c r="I11" s="10" t="n"/>
      <c r="J11" s="6" t="n">
        <v>1</v>
      </c>
    </row>
    <row r="12">
      <c r="A12" s="6" t="inlineStr">
        <is>
          <t>1.7</t>
        </is>
      </c>
      <c r="B12" s="7" t="inlineStr">
        <is>
          <t>Sede(s)</t>
        </is>
      </c>
      <c r="C12" s="8" t="inlineStr">
        <is>
          <t>Edwin Gutiérrez Zapana</t>
        </is>
      </c>
      <c r="D12" s="8" t="inlineStr">
        <is>
          <t>Alarcon Pablo Alejandro</t>
        </is>
      </c>
      <c r="E12" s="6" t="inlineStr">
        <is>
          <t>Pendiente</t>
        </is>
      </c>
      <c r="F12" s="9" t="n"/>
      <c r="G12" s="6" t="n"/>
      <c r="H12" s="6" t="inlineStr">
        <is>
          <t>No</t>
        </is>
      </c>
      <c r="I12" s="10" t="n"/>
      <c r="J12" s="6" t="n">
        <v>1</v>
      </c>
    </row>
    <row r="13">
      <c r="A13" s="6" t="inlineStr">
        <is>
          <t>1.8</t>
        </is>
      </c>
      <c r="B13" s="7" t="inlineStr">
        <is>
          <t>Diploma académico terminal</t>
        </is>
      </c>
      <c r="C13" s="8" t="inlineStr">
        <is>
          <t>Edwin Gutiérrez Zapana</t>
        </is>
      </c>
      <c r="D13" s="8" t="inlineStr">
        <is>
          <t>Alarcon Pablo Alejandro</t>
        </is>
      </c>
      <c r="E13" s="6" t="inlineStr">
        <is>
          <t>Pendiente</t>
        </is>
      </c>
      <c r="F13" s="9" t="n"/>
      <c r="G13" s="6" t="n"/>
      <c r="H13" s="6" t="inlineStr">
        <is>
          <t>No</t>
        </is>
      </c>
      <c r="I13" s="10" t="n"/>
      <c r="J13" s="6" t="n">
        <v>1</v>
      </c>
    </row>
    <row r="14">
      <c r="A14" s="6" t="inlineStr">
        <is>
          <t>1.9</t>
        </is>
      </c>
      <c r="B14" s="7" t="inlineStr">
        <is>
          <t>Diploma(s) académico(s) intermedio(s)</t>
        </is>
      </c>
      <c r="C14" s="8" t="inlineStr">
        <is>
          <t>Edwin Gutiérrez Zapana</t>
        </is>
      </c>
      <c r="D14" s="8" t="inlineStr">
        <is>
          <t>Alarcon Pablo Alejandro</t>
        </is>
      </c>
      <c r="E14" s="6" t="inlineStr">
        <is>
          <t>Pendiente</t>
        </is>
      </c>
      <c r="F14" s="9" t="n"/>
      <c r="G14" s="6" t="n"/>
      <c r="H14" s="6" t="inlineStr">
        <is>
          <t>No</t>
        </is>
      </c>
      <c r="I14" s="10" t="n"/>
      <c r="J14" s="6" t="n">
        <v>1</v>
      </c>
    </row>
    <row r="15">
      <c r="A15" s="6" t="inlineStr">
        <is>
          <t>1.10</t>
        </is>
      </c>
      <c r="B15" s="7" t="inlineStr">
        <is>
          <t>Título Profesional</t>
        </is>
      </c>
      <c r="C15" s="8" t="inlineStr">
        <is>
          <t>Edwin Gutiérrez Zapana</t>
        </is>
      </c>
      <c r="D15" s="8" t="inlineStr">
        <is>
          <t>Alarcon Pablo Alejandro</t>
        </is>
      </c>
      <c r="E15" s="6" t="inlineStr">
        <is>
          <t>Pendiente</t>
        </is>
      </c>
      <c r="F15" s="9" t="n"/>
      <c r="G15" s="6" t="n"/>
      <c r="H15" s="6" t="inlineStr">
        <is>
          <t>No</t>
        </is>
      </c>
      <c r="I15" s="10" t="n"/>
      <c r="J15" s="6" t="n">
        <v>1</v>
      </c>
    </row>
    <row r="16">
      <c r="A16" s="6" t="inlineStr">
        <is>
          <t>1.11</t>
        </is>
      </c>
      <c r="B16" s="7" t="inlineStr">
        <is>
          <t>Título(s) profesional(es) intermedio(s)</t>
        </is>
      </c>
      <c r="C16" s="8" t="inlineStr">
        <is>
          <t>Edwin Gutiérrez Zapana</t>
        </is>
      </c>
      <c r="D16" s="8" t="inlineStr">
        <is>
          <t>Alarcon Pablo Alejandro</t>
        </is>
      </c>
      <c r="E16" s="6" t="inlineStr">
        <is>
          <t>Pendiente</t>
        </is>
      </c>
      <c r="F16" s="9" t="n"/>
      <c r="G16" s="6" t="n"/>
      <c r="H16" s="6" t="inlineStr">
        <is>
          <t>No</t>
        </is>
      </c>
      <c r="I16" s="10" t="n"/>
      <c r="J16" s="6" t="n">
        <v>1</v>
      </c>
    </row>
    <row r="17">
      <c r="A17" s="6" t="inlineStr">
        <is>
          <t>1.12</t>
        </is>
      </c>
      <c r="B17" s="7" t="inlineStr">
        <is>
          <t>Modalidad(es) de docencia</t>
        </is>
      </c>
      <c r="C17" s="8" t="inlineStr">
        <is>
          <t>Edwin Gutiérrez Zapana</t>
        </is>
      </c>
      <c r="D17" s="8" t="inlineStr">
        <is>
          <t>Alarcon Pablo Alejandro</t>
        </is>
      </c>
      <c r="E17" s="6" t="inlineStr">
        <is>
          <t>Pendiente</t>
        </is>
      </c>
      <c r="F17" s="9" t="n"/>
      <c r="G17" s="6" t="n"/>
      <c r="H17" s="6" t="inlineStr">
        <is>
          <t>No</t>
        </is>
      </c>
      <c r="I17" s="10" t="n"/>
      <c r="J17" s="6" t="n">
        <v>1</v>
      </c>
    </row>
    <row r="18">
      <c r="A18" s="6" t="inlineStr">
        <is>
          <t>1.13</t>
        </is>
      </c>
      <c r="B18" s="7" t="inlineStr">
        <is>
          <t>Otras características</t>
        </is>
      </c>
      <c r="C18" s="8" t="inlineStr">
        <is>
          <t>Edwin Gutiérrez Zapana</t>
        </is>
      </c>
      <c r="D18" s="8" t="inlineStr">
        <is>
          <t>Alarcon Pablo Alejandro</t>
        </is>
      </c>
      <c r="E18" s="6" t="inlineStr">
        <is>
          <t>Pendiente</t>
        </is>
      </c>
      <c r="F18" s="9" t="n"/>
      <c r="G18" s="6" t="n"/>
      <c r="H18" s="6" t="inlineStr">
        <is>
          <t>No</t>
        </is>
      </c>
      <c r="I18" s="10" t="n"/>
      <c r="J18" s="6" t="n">
        <v>1</v>
      </c>
    </row>
    <row r="19">
      <c r="A19" s="3" t="inlineStr">
        <is>
          <t>2.</t>
        </is>
      </c>
      <c r="B19" s="4" t="inlineStr">
        <is>
          <t>Antecedentes</t>
        </is>
      </c>
      <c r="C19" s="4" t="inlineStr">
        <is>
          <t>Sin asignar</t>
        </is>
      </c>
      <c r="D19" s="4" t="inlineStr">
        <is>
          <t>Sin asignar</t>
        </is>
      </c>
      <c r="E19" s="3">
        <f>IF(SUMPRODUCT(($J$20:$J$26=1)*($E$20:$E$26="Entregado"))=SUMPRODUCT(($J$20:$J$26=1)*1),"Completo",IF(SUMPRODUCT(($J$20:$J$26=1)*($E$20:$E$26="Pendiente"))=SUMPRODUCT(($J$20:$J$26=1)*1),"Pendiente","En proceso"))</f>
        <v/>
      </c>
      <c r="F19" s="3">
        <f>SUMPRODUCT(($J$20:$J$26=1)*($E$20:$E$26="Entregado"))&amp;" de "&amp;SUMPRODUCT(($J$20:$J$26=1)*1)</f>
        <v/>
      </c>
      <c r="G19" s="3" t="inlineStr">
        <is>
          <t>—</t>
        </is>
      </c>
      <c r="H19" s="3" t="inlineStr">
        <is>
          <t>—</t>
        </is>
      </c>
      <c r="I19" s="5" t="inlineStr"/>
      <c r="J19" s="3" t="n">
        <v>0</v>
      </c>
    </row>
    <row r="20">
      <c r="A20" s="6" t="inlineStr">
        <is>
          <t>2.1</t>
        </is>
      </c>
      <c r="B20" s="7" t="inlineStr">
        <is>
          <t>Datos generales del programa/carrera</t>
        </is>
      </c>
      <c r="C20" s="8" t="inlineStr">
        <is>
          <t>Sin asignar</t>
        </is>
      </c>
      <c r="D20" s="8" t="inlineStr">
        <is>
          <t>Sin asignar</t>
        </is>
      </c>
      <c r="E20" s="6" t="inlineStr">
        <is>
          <t>Pendiente</t>
        </is>
      </c>
      <c r="F20" s="9" t="n"/>
      <c r="G20" s="6" t="n"/>
      <c r="H20" s="6" t="inlineStr">
        <is>
          <t>No</t>
        </is>
      </c>
      <c r="I20" s="10" t="n"/>
      <c r="J20" s="6" t="n">
        <v>1</v>
      </c>
    </row>
    <row r="21">
      <c r="A21" s="6" t="inlineStr">
        <is>
          <t>2.2</t>
        </is>
      </c>
      <c r="B21" s="7" t="inlineStr">
        <is>
          <t>Misión, visión de la carrera</t>
        </is>
      </c>
      <c r="C21" s="8" t="inlineStr">
        <is>
          <t>Sin asignar</t>
        </is>
      </c>
      <c r="D21" s="8" t="inlineStr">
        <is>
          <t>Sin asignar</t>
        </is>
      </c>
      <c r="E21" s="6" t="inlineStr">
        <is>
          <t>Entregado</t>
        </is>
      </c>
      <c r="F21" s="9" t="n">
        <v>46306</v>
      </c>
      <c r="G21" s="6" t="inlineStr">
        <is>
          <t>Word</t>
        </is>
      </c>
      <c r="H21" s="6" t="inlineStr">
        <is>
          <t>Sí</t>
        </is>
      </c>
      <c r="I21" s="10" t="inlineStr">
        <is>
          <t>Documento Misión, Visión y Perfil Profesional 2026</t>
        </is>
      </c>
      <c r="J21" s="6" t="n">
        <v>1</v>
      </c>
    </row>
    <row r="22">
      <c r="A22" s="6" t="inlineStr">
        <is>
          <t>2.3</t>
        </is>
      </c>
      <c r="B22" s="7" t="inlineStr">
        <is>
          <t>Plan de desarrollo de la carrera</t>
        </is>
      </c>
      <c r="C22" s="8" t="inlineStr">
        <is>
          <t>Sin asignar</t>
        </is>
      </c>
      <c r="D22" s="8" t="inlineStr">
        <is>
          <t>Sin asignar</t>
        </is>
      </c>
      <c r="E22" s="6" t="inlineStr">
        <is>
          <t>Pendiente</t>
        </is>
      </c>
      <c r="F22" s="9" t="n"/>
      <c r="G22" s="6" t="n"/>
      <c r="H22" s="6" t="inlineStr">
        <is>
          <t>No</t>
        </is>
      </c>
      <c r="I22" s="10" t="n"/>
      <c r="J22" s="6" t="n">
        <v>1</v>
      </c>
    </row>
    <row r="23">
      <c r="A23" s="6" t="inlineStr">
        <is>
          <t>2.4</t>
        </is>
      </c>
      <c r="B23" s="7" t="inlineStr">
        <is>
          <t>Objetivos del programa/carrera</t>
        </is>
      </c>
      <c r="C23" s="8" t="inlineStr">
        <is>
          <t>Sin asignar</t>
        </is>
      </c>
      <c r="D23" s="8" t="inlineStr">
        <is>
          <t>Sin asignar</t>
        </is>
      </c>
      <c r="E23" s="6" t="inlineStr">
        <is>
          <t>Entregado</t>
        </is>
      </c>
      <c r="F23" s="9" t="n">
        <v>46306</v>
      </c>
      <c r="G23" s="6" t="inlineStr">
        <is>
          <t>Word</t>
        </is>
      </c>
      <c r="H23" s="6" t="inlineStr">
        <is>
          <t>Sí</t>
        </is>
      </c>
      <c r="I23" s="10" t="inlineStr">
        <is>
          <t xml:space="preserve">Documento Misión, Visión y Perfil Profesional 2026; también en Documento 04 Plan de Estudios 2026</t>
        </is>
      </c>
      <c r="J23" s="6" t="n">
        <v>1</v>
      </c>
    </row>
    <row r="24">
      <c r="A24" s="6" t="inlineStr">
        <is>
          <t>2.5</t>
        </is>
      </c>
      <c r="B24" s="7" t="inlineStr">
        <is>
          <t>Características del programa/carrera</t>
        </is>
      </c>
      <c r="C24" s="8" t="inlineStr">
        <is>
          <t>Sin asignar</t>
        </is>
      </c>
      <c r="D24" s="8" t="inlineStr">
        <is>
          <t>Sin asignar</t>
        </is>
      </c>
      <c r="E24" s="6" t="inlineStr">
        <is>
          <t>Pendiente</t>
        </is>
      </c>
      <c r="F24" s="9" t="n"/>
      <c r="G24" s="6" t="n"/>
      <c r="H24" s="6" t="inlineStr">
        <is>
          <t>No</t>
        </is>
      </c>
      <c r="I24" s="10" t="n"/>
      <c r="J24" s="6" t="n">
        <v>1</v>
      </c>
    </row>
    <row r="25">
      <c r="A25" s="6" t="inlineStr">
        <is>
          <t>2.6</t>
        </is>
      </c>
      <c r="B25" s="7" t="inlineStr">
        <is>
          <t>Organigrama del programa/carrera</t>
        </is>
      </c>
      <c r="C25" s="8" t="inlineStr">
        <is>
          <t>Sin asignar</t>
        </is>
      </c>
      <c r="D25" s="8" t="inlineStr">
        <is>
          <t>Sin asignar</t>
        </is>
      </c>
      <c r="E25" s="6" t="inlineStr">
        <is>
          <t>Pendiente</t>
        </is>
      </c>
      <c r="F25" s="9" t="n"/>
      <c r="G25" s="6" t="n"/>
      <c r="H25" s="6" t="inlineStr">
        <is>
          <t>No</t>
        </is>
      </c>
      <c r="I25" s="10" t="n"/>
      <c r="J25" s="6" t="n">
        <v>1</v>
      </c>
    </row>
    <row r="26">
      <c r="A26" s="6" t="inlineStr">
        <is>
          <t>2.7</t>
        </is>
      </c>
      <c r="B26" s="7" t="inlineStr">
        <is>
          <t>Estadísticas del programa/carrera</t>
        </is>
      </c>
      <c r="C26" s="8" t="inlineStr">
        <is>
          <t>Sin asignar</t>
        </is>
      </c>
      <c r="D26" s="8" t="inlineStr">
        <is>
          <t>Sin asignar</t>
        </is>
      </c>
      <c r="E26" s="6" t="inlineStr">
        <is>
          <t>Pendiente</t>
        </is>
      </c>
      <c r="F26" s="9" t="n"/>
      <c r="G26" s="6" t="n"/>
      <c r="H26" s="6" t="inlineStr">
        <is>
          <t>No</t>
        </is>
      </c>
      <c r="I26" s="10" t="n"/>
      <c r="J26" s="6" t="n">
        <v>1</v>
      </c>
    </row>
    <row r="27">
      <c r="A27" s="3" t="inlineStr">
        <is>
          <t>3.</t>
        </is>
      </c>
      <c r="B27" s="4" t="inlineStr">
        <is>
          <t>Justificación de la innovación curricular (solo para niveles de diseño, rediseño y ajustes)</t>
        </is>
      </c>
      <c r="C27" s="4" t="inlineStr">
        <is>
          <t>Alberto Mendoza Mendoza</t>
        </is>
      </c>
      <c r="D27" s="4" t="inlineStr">
        <is>
          <t>Ayrton Javier Quisbert Fernandez</t>
        </is>
      </c>
      <c r="E27" s="3">
        <f>IF(SUMPRODUCT(($J$28:$J$32=1)*($E$28:$E$32="Entregado"))=SUMPRODUCT(($J$28:$J$32=1)*1),"Completo",IF(SUMPRODUCT(($J$28:$J$32=1)*($E$28:$E$32="Pendiente"))=SUMPRODUCT(($J$28:$J$32=1)*1),"Pendiente","En proceso"))</f>
        <v/>
      </c>
      <c r="F27" s="3">
        <f>SUMPRODUCT(($J$28:$J$32=1)*($E$28:$E$32="Entregado"))&amp;" de "&amp;SUMPRODUCT(($J$28:$J$32=1)*1)</f>
        <v/>
      </c>
      <c r="G27" s="3" t="inlineStr">
        <is>
          <t>—</t>
        </is>
      </c>
      <c r="H27" s="3" t="inlineStr">
        <is>
          <t>—</t>
        </is>
      </c>
      <c r="I27" s="5" t="inlineStr"/>
      <c r="J27" s="3" t="n">
        <v>0</v>
      </c>
    </row>
    <row r="28">
      <c r="A28" s="6" t="inlineStr">
        <is>
          <t>3.1</t>
        </is>
      </c>
      <c r="B28" s="7" t="inlineStr">
        <is>
          <t>Análisis de resultados obtenidos con anteriores planes de estudio (descripción estadística y cualitativa)</t>
        </is>
      </c>
      <c r="C28" s="8" t="inlineStr">
        <is>
          <t>Alberto Mendoza Mendoza</t>
        </is>
      </c>
      <c r="D28" s="8" t="inlineStr">
        <is>
          <t>Ayrton Javier Quisbert Fernandez</t>
        </is>
      </c>
      <c r="E28" s="6" t="inlineStr">
        <is>
          <t>Pendiente</t>
        </is>
      </c>
      <c r="F28" s="9" t="n"/>
      <c r="G28" s="6" t="n"/>
      <c r="H28" s="6" t="inlineStr">
        <is>
          <t>No</t>
        </is>
      </c>
      <c r="I28" s="10" t="n"/>
      <c r="J28" s="6" t="n">
        <v>1</v>
      </c>
    </row>
    <row r="29">
      <c r="A29" s="6" t="inlineStr">
        <is>
          <t>3.2</t>
        </is>
      </c>
      <c r="B29" s="7" t="inlineStr">
        <is>
          <t>Análisis de las políticas y normas (internacionales, nacionales y universitarias)</t>
        </is>
      </c>
      <c r="C29" s="8" t="inlineStr">
        <is>
          <t>Alberto Mendoza Mendoza</t>
        </is>
      </c>
      <c r="D29" s="8" t="inlineStr">
        <is>
          <t>Ayrton Javier Quisbert Fernandez</t>
        </is>
      </c>
      <c r="E29" s="6" t="inlineStr">
        <is>
          <t xml:space="preserve">Entregado</t>
        </is>
      </c>
      <c r="F29" s="9" t="n">
        <v>46307</v>
      </c>
      <c r="G29" s="6" t="inlineStr">
        <is>
          <t xml:space="preserve">Word</t>
        </is>
      </c>
      <c r="H29" s="6" t="inlineStr">
        <is>
          <t xml:space="preserve">Sí</t>
        </is>
      </c>
      <c r="I29" s="10" t="inlineStr">
        <is>
          <t xml:space="preserve">Documento 04 Plan de Estudios 2026</t>
        </is>
      </c>
      <c r="J29" s="6" t="n">
        <v>1</v>
      </c>
    </row>
    <row r="30">
      <c r="A30" s="6" t="inlineStr">
        <is>
          <t>3.3</t>
        </is>
      </c>
      <c r="B30" s="7" t="inlineStr">
        <is>
          <t>Análisis del contexto económico, estudio de mercado laboral e inserción laboral</t>
        </is>
      </c>
      <c r="C30" s="8" t="inlineStr">
        <is>
          <t>Alberto Mendoza Mendoza</t>
        </is>
      </c>
      <c r="D30" s="8" t="inlineStr">
        <is>
          <t>Ayrton Javier Quisbert Fernandez</t>
        </is>
      </c>
      <c r="E30" s="6" t="inlineStr">
        <is>
          <t>Pendiente</t>
        </is>
      </c>
      <c r="F30" s="9" t="n"/>
      <c r="G30" s="6" t="n"/>
      <c r="H30" s="6" t="inlineStr">
        <is>
          <t>No</t>
        </is>
      </c>
      <c r="I30" s="10" t="n"/>
      <c r="J30" s="6" t="n">
        <v>1</v>
      </c>
    </row>
    <row r="31">
      <c r="A31" s="6" t="inlineStr">
        <is>
          <t>3.4</t>
        </is>
      </c>
      <c r="B31" s="7" t="inlineStr">
        <is>
          <t>Análisis del contexto de cambios y tendencias de la ciencia y tecnología a nivel global</t>
        </is>
      </c>
      <c r="C31" s="8" t="inlineStr">
        <is>
          <t>Humberto Quintanilla Muñoz</t>
        </is>
      </c>
      <c r="D31" s="8" t="inlineStr">
        <is>
          <t>Beymar Adalid Paucara Marquez</t>
        </is>
      </c>
      <c r="E31" s="6" t="inlineStr">
        <is>
          <t>Pendiente</t>
        </is>
      </c>
      <c r="F31" s="9" t="n"/>
      <c r="G31" s="6" t="n"/>
      <c r="H31" s="6" t="inlineStr">
        <is>
          <t>No</t>
        </is>
      </c>
      <c r="I31" s="10" t="n"/>
      <c r="J31" s="6" t="n">
        <v>1</v>
      </c>
    </row>
    <row r="32">
      <c r="A32" s="6" t="inlineStr">
        <is>
          <t>3.5</t>
        </is>
      </c>
      <c r="B32" s="7" t="inlineStr">
        <is>
          <t>Contextualización de la oferta curricular en la realidad nacional e internacional</t>
        </is>
      </c>
      <c r="C32" s="8" t="inlineStr">
        <is>
          <t>Humberto Quintanilla Muñoz</t>
        </is>
      </c>
      <c r="D32" s="8" t="inlineStr">
        <is>
          <t>Beymar Adalid Paucara Marquez</t>
        </is>
      </c>
      <c r="E32" s="6" t="inlineStr">
        <is>
          <t xml:space="preserve">Entregado</t>
        </is>
      </c>
      <c r="F32" s="9" t="n">
        <v>46307</v>
      </c>
      <c r="G32" s="6" t="inlineStr">
        <is>
          <t xml:space="preserve">Word</t>
        </is>
      </c>
      <c r="H32" s="6" t="inlineStr">
        <is>
          <t xml:space="preserve">Sí</t>
        </is>
      </c>
      <c r="I32" s="10" t="inlineStr">
        <is>
          <t xml:space="preserve">Documento 04 Plan de Estudios 2026</t>
        </is>
      </c>
      <c r="J32" s="6" t="n">
        <v>1</v>
      </c>
    </row>
    <row r="33">
      <c r="A33" s="3" t="inlineStr">
        <is>
          <t>4.</t>
        </is>
      </c>
      <c r="B33" s="4" t="inlineStr">
        <is>
          <t>Aspectos académicos</t>
        </is>
      </c>
      <c r="C33" s="4" t="inlineStr">
        <is>
          <t>Freddy Huanca Mamani</t>
        </is>
      </c>
      <c r="D33" s="4" t="inlineStr">
        <is>
          <t>Katherin Fabiola Ali Quispe</t>
        </is>
      </c>
      <c r="E33" s="3">
        <f>IF(SUMPRODUCT(($J$34:$J$71=1)*($E$34:$E$71="Entregado"))=SUMPRODUCT(($J$34:$J$71=1)*1),"Completo",IF(SUMPRODUCT(($J$34:$J$71=1)*($E$34:$E$71="Pendiente"))=SUMPRODUCT(($J$34:$J$71=1)*1),"Pendiente","En proceso"))</f>
        <v/>
      </c>
      <c r="F33" s="3">
        <f>SUMPRODUCT(($J$34:$J$71=1)*($E$34:$E$71="Entregado"))&amp;" de "&amp;SUMPRODUCT(($J$34:$J$71=1)*1)</f>
        <v/>
      </c>
      <c r="G33" s="3" t="inlineStr">
        <is>
          <t>—</t>
        </is>
      </c>
      <c r="H33" s="3" t="inlineStr">
        <is>
          <t>—</t>
        </is>
      </c>
      <c r="I33" s="5" t="inlineStr"/>
      <c r="J33" s="3" t="n">
        <v>0</v>
      </c>
    </row>
    <row r="34">
      <c r="A34" s="11" t="inlineStr">
        <is>
          <t>4.1</t>
        </is>
      </c>
      <c r="B34" s="12" t="inlineStr">
        <is>
          <t>Fundamentos curriculares</t>
        </is>
      </c>
      <c r="C34" s="13" t="inlineStr">
        <is>
          <t>Freddy Huanca Mamani</t>
        </is>
      </c>
      <c r="D34" s="13" t="inlineStr">
        <is>
          <t>Katherin Fabiola Ali Quispe</t>
        </is>
      </c>
      <c r="E34" s="11">
        <f>IF(SUMPRODUCT(($J$35:$J$39=1)*($E$35:$E$39="Entregado"))=SUMPRODUCT(($J$35:$J$39=1)*1),"Completo",IF(SUMPRODUCT(($J$35:$J$39=1)*($E$35:$E$39="Pendiente"))=SUMPRODUCT(($J$35:$J$39=1)*1),"Pendiente","En proceso"))</f>
        <v/>
      </c>
      <c r="F34" s="11">
        <f>SUMPRODUCT(($J$35:$J$39=1)*($E$35:$E$39="Entregado"))&amp;" de "&amp;SUMPRODUCT(($J$35:$J$39=1)*1)</f>
        <v/>
      </c>
      <c r="G34" s="11" t="inlineStr">
        <is>
          <t>—</t>
        </is>
      </c>
      <c r="H34" s="11" t="inlineStr">
        <is>
          <t>—</t>
        </is>
      </c>
      <c r="I34" s="14" t="inlineStr"/>
      <c r="J34" s="11" t="n">
        <v>0</v>
      </c>
    </row>
    <row r="35">
      <c r="A35" s="6" t="inlineStr">
        <is>
          <t>4.1.1</t>
        </is>
      </c>
      <c r="B35" s="7" t="inlineStr">
        <is>
          <t>Fundamentos epistemológicos</t>
        </is>
      </c>
      <c r="C35" s="8" t="inlineStr">
        <is>
          <t>Freddy Huanca Mamani</t>
        </is>
      </c>
      <c r="D35" s="8" t="inlineStr">
        <is>
          <t>Katherin Fabiola Ali Quispe</t>
        </is>
      </c>
      <c r="E35" s="6" t="inlineStr">
        <is>
          <t xml:space="preserve">Entregado</t>
        </is>
      </c>
      <c r="F35" s="9" t="n">
        <v>46307</v>
      </c>
      <c r="G35" s="6" t="inlineStr">
        <is>
          <t xml:space="preserve">Word</t>
        </is>
      </c>
      <c r="H35" s="6" t="inlineStr">
        <is>
          <t xml:space="preserve">Sí</t>
        </is>
      </c>
      <c r="I35" s="10" t="inlineStr">
        <is>
          <t xml:space="preserve">Documento 04 Plan de Estudios 2026</t>
        </is>
      </c>
      <c r="J35" s="6" t="n">
        <v>1</v>
      </c>
    </row>
    <row r="36">
      <c r="A36" s="6" t="inlineStr">
        <is>
          <t>4.1.2</t>
        </is>
      </c>
      <c r="B36" s="7" t="inlineStr">
        <is>
          <t>Fundamentos sociológicos antropológicos</t>
        </is>
      </c>
      <c r="C36" s="8" t="inlineStr">
        <is>
          <t>Freddy Huanca Mamani</t>
        </is>
      </c>
      <c r="D36" s="8" t="inlineStr">
        <is>
          <t>Katherin Fabiola Ali Quispe</t>
        </is>
      </c>
      <c r="E36" s="6" t="inlineStr">
        <is>
          <t xml:space="preserve">Entregado</t>
        </is>
      </c>
      <c r="F36" s="9" t="n">
        <v>46307</v>
      </c>
      <c r="G36" s="6" t="inlineStr">
        <is>
          <t xml:space="preserve">Word</t>
        </is>
      </c>
      <c r="H36" s="6" t="inlineStr">
        <is>
          <t xml:space="preserve">Sí</t>
        </is>
      </c>
      <c r="I36" s="10" t="inlineStr">
        <is>
          <t xml:space="preserve">Documento 04 Plan de Estudios 2026</t>
        </is>
      </c>
      <c r="J36" s="6" t="n">
        <v>1</v>
      </c>
    </row>
    <row r="37">
      <c r="A37" s="6" t="inlineStr">
        <is>
          <t>4.1.3</t>
        </is>
      </c>
      <c r="B37" s="7" t="inlineStr">
        <is>
          <t>Fundamentos psicológicos</t>
        </is>
      </c>
      <c r="C37" s="8" t="inlineStr">
        <is>
          <t>Jorge Cespedes Esteves</t>
        </is>
      </c>
      <c r="D37" s="8" t="inlineStr">
        <is>
          <t>Taiz Alejandra Cano Chuyma</t>
        </is>
      </c>
      <c r="E37" s="6" t="inlineStr">
        <is>
          <t>Pendiente</t>
        </is>
      </c>
      <c r="F37" s="9" t="n"/>
      <c r="G37" s="6" t="n"/>
      <c r="H37" s="6" t="inlineStr">
        <is>
          <t>No</t>
        </is>
      </c>
      <c r="I37" s="10" t="n"/>
      <c r="J37" s="6" t="n">
        <v>1</v>
      </c>
    </row>
    <row r="38">
      <c r="A38" s="6" t="inlineStr">
        <is>
          <t>4.1.4</t>
        </is>
      </c>
      <c r="B38" s="7" t="inlineStr">
        <is>
          <t>Fundamentos educativos</t>
        </is>
      </c>
      <c r="C38" s="8" t="inlineStr">
        <is>
          <t>Jorge Cespedes Esteves</t>
        </is>
      </c>
      <c r="D38" s="8" t="inlineStr">
        <is>
          <t>Taiz Alejandra Cano Chuyma</t>
        </is>
      </c>
      <c r="E38" s="6" t="inlineStr">
        <is>
          <t xml:space="preserve">Entregado</t>
        </is>
      </c>
      <c r="F38" s="9" t="n">
        <v>46307</v>
      </c>
      <c r="G38" s="6" t="inlineStr">
        <is>
          <t xml:space="preserve">Word</t>
        </is>
      </c>
      <c r="H38" s="6" t="inlineStr">
        <is>
          <t xml:space="preserve">Sí</t>
        </is>
      </c>
      <c r="I38" s="10" t="inlineStr">
        <is>
          <t xml:space="preserve">Documento 04 Plan de Estudios 2026</t>
        </is>
      </c>
      <c r="J38" s="6" t="n">
        <v>1</v>
      </c>
    </row>
    <row r="39">
      <c r="A39" s="6" t="inlineStr">
        <is>
          <t>4.1.5</t>
        </is>
      </c>
      <c r="B39" s="7" t="inlineStr">
        <is>
          <t>Fundamentos axiológicos</t>
        </is>
      </c>
      <c r="C39" s="8" t="inlineStr">
        <is>
          <t>Jorge Cespedes Esteves</t>
        </is>
      </c>
      <c r="D39" s="8" t="inlineStr">
        <is>
          <t>Taiz Alejandra Cano Chuyma</t>
        </is>
      </c>
      <c r="E39" s="6" t="inlineStr">
        <is>
          <t xml:space="preserve">Entregado</t>
        </is>
      </c>
      <c r="F39" s="9" t="n">
        <v>46307</v>
      </c>
      <c r="G39" s="6" t="inlineStr">
        <is>
          <t xml:space="preserve">Word</t>
        </is>
      </c>
      <c r="H39" s="6" t="inlineStr">
        <is>
          <t xml:space="preserve">Sí</t>
        </is>
      </c>
      <c r="I39" s="10" t="inlineStr">
        <is>
          <t xml:space="preserve">Propuesta en Contenido extra: Valores, por confirmar; Documento 04 Plan de Estudios 2026</t>
        </is>
      </c>
      <c r="J39" s="6" t="n">
        <v>1</v>
      </c>
    </row>
    <row r="40">
      <c r="A40" s="11" t="inlineStr">
        <is>
          <t>4.2</t>
        </is>
      </c>
      <c r="B40" s="12" t="inlineStr">
        <is>
          <t>Referentes disciplinares</t>
        </is>
      </c>
      <c r="C40" s="13" t="inlineStr">
        <is>
          <t>Hinojosa</t>
        </is>
      </c>
      <c r="D40" s="13" t="inlineStr">
        <is>
          <t>Melany Sarah Chavez Condori</t>
        </is>
      </c>
      <c r="E40" s="11">
        <f>IF(SUMPRODUCT(($J$41:$J$47=1)*($E$41:$E$47="Entregado"))=SUMPRODUCT(($J$41:$J$47=1)*1),"Completo",IF(SUMPRODUCT(($J$41:$J$47=1)*($E$41:$E$47="Pendiente"))=SUMPRODUCT(($J$41:$J$47=1)*1),"Pendiente","En proceso"))</f>
        <v/>
      </c>
      <c r="F40" s="11">
        <f>SUMPRODUCT(($J$41:$J$47=1)*($E$41:$E$47="Entregado"))&amp;" de "&amp;SUMPRODUCT(($J$41:$J$47=1)*1)</f>
        <v/>
      </c>
      <c r="G40" s="11" t="inlineStr">
        <is>
          <t>—</t>
        </is>
      </c>
      <c r="H40" s="11" t="inlineStr">
        <is>
          <t>—</t>
        </is>
      </c>
      <c r="I40" s="14" t="inlineStr"/>
      <c r="J40" s="11" t="n">
        <v>0</v>
      </c>
    </row>
    <row r="41">
      <c r="A41" s="6" t="inlineStr">
        <is>
          <t>4.2.1</t>
        </is>
      </c>
      <c r="B41" s="7" t="inlineStr">
        <is>
          <t>Problemas que serán abordados por el profesional</t>
        </is>
      </c>
      <c r="C41" s="8" t="inlineStr">
        <is>
          <t>Hinojosa</t>
        </is>
      </c>
      <c r="D41" s="8" t="inlineStr">
        <is>
          <t>Melany Sarah Chavez Condori</t>
        </is>
      </c>
      <c r="E41" s="6" t="inlineStr">
        <is>
          <t>Pendiente</t>
        </is>
      </c>
      <c r="F41" s="9" t="n"/>
      <c r="G41" s="6" t="n"/>
      <c r="H41" s="6" t="inlineStr">
        <is>
          <t>No</t>
        </is>
      </c>
      <c r="I41" s="10" t="inlineStr">
        <is>
          <t>Propuesta en Contenido extra: Necesidades de formación, por confirmar</t>
        </is>
      </c>
      <c r="J41" s="6" t="n">
        <v>1</v>
      </c>
    </row>
    <row r="42">
      <c r="A42" s="6" t="inlineStr">
        <is>
          <t>4.2.2</t>
        </is>
      </c>
      <c r="B42" s="7" t="inlineStr">
        <is>
          <t>Prospectiva de la profesión</t>
        </is>
      </c>
      <c r="C42" s="8" t="inlineStr">
        <is>
          <t>Hinojosa</t>
        </is>
      </c>
      <c r="D42" s="8" t="inlineStr">
        <is>
          <t>Melany Sarah Chavez Condori</t>
        </is>
      </c>
      <c r="E42" s="6" t="inlineStr">
        <is>
          <t>Pendiente</t>
        </is>
      </c>
      <c r="F42" s="9" t="n"/>
      <c r="G42" s="6" t="n"/>
      <c r="H42" s="6" t="inlineStr">
        <is>
          <t>No</t>
        </is>
      </c>
      <c r="I42" s="10" t="inlineStr">
        <is>
          <t>Propuesta en Contenido extra: Consideraciones sobre la profesión, por confirmar</t>
        </is>
      </c>
      <c r="J42" s="6" t="n">
        <v>1</v>
      </c>
    </row>
    <row r="43">
      <c r="A43" s="6" t="inlineStr">
        <is>
          <t>4.2.3</t>
        </is>
      </c>
      <c r="B43" s="7" t="inlineStr">
        <is>
          <t>Caracterización de la práctica de la profesión (áreas de acción y funciones)</t>
        </is>
      </c>
      <c r="C43" s="8" t="inlineStr">
        <is>
          <t>Hinojosa</t>
        </is>
      </c>
      <c r="D43" s="8" t="inlineStr">
        <is>
          <t>Melany Sarah Chavez Condori</t>
        </is>
      </c>
      <c r="E43" s="6" t="inlineStr">
        <is>
          <t>Entregado</t>
        </is>
      </c>
      <c r="F43" s="9" t="n">
        <v>46306</v>
      </c>
      <c r="G43" s="6" t="inlineStr">
        <is>
          <t>Word</t>
        </is>
      </c>
      <c r="H43" s="6" t="inlineStr">
        <is>
          <t>Sí</t>
        </is>
      </c>
      <c r="I43" s="10" t="inlineStr">
        <is>
          <t xml:space="preserve">Documento Misión, Visión y Perfil Profesional 2026; también en Documento 04 Plan de Estudios 2026</t>
        </is>
      </c>
      <c r="J43" s="6" t="n">
        <v>1</v>
      </c>
    </row>
    <row r="44">
      <c r="A44" s="6" t="inlineStr">
        <is>
          <t>4.2.4</t>
        </is>
      </c>
      <c r="B44" s="7" t="inlineStr">
        <is>
          <t>Objeto de la profesión</t>
        </is>
      </c>
      <c r="C44" s="8" t="inlineStr">
        <is>
          <t>Hinojosa</t>
        </is>
      </c>
      <c r="D44" s="8" t="inlineStr">
        <is>
          <t>Melany Sarah Chavez Condori</t>
        </is>
      </c>
      <c r="E44" s="6" t="inlineStr">
        <is>
          <t>Entregado</t>
        </is>
      </c>
      <c r="F44" s="9" t="n">
        <v>46306</v>
      </c>
      <c r="G44" s="6" t="inlineStr">
        <is>
          <t>Word</t>
        </is>
      </c>
      <c r="H44" s="6" t="inlineStr">
        <is>
          <t>Sí</t>
        </is>
      </c>
      <c r="I44" s="10" t="inlineStr">
        <is>
          <t>Documento Misión, Visión y Perfil Profesional 2026</t>
        </is>
      </c>
      <c r="J44" s="6" t="n">
        <v>1</v>
      </c>
    </row>
    <row r="45">
      <c r="A45" s="6" t="inlineStr">
        <is>
          <t>4.2.5</t>
        </is>
      </c>
      <c r="B45" s="7" t="inlineStr">
        <is>
          <t>Objetivo de la profesión</t>
        </is>
      </c>
      <c r="C45" s="8" t="inlineStr">
        <is>
          <t>Hinojosa</t>
        </is>
      </c>
      <c r="D45" s="8" t="inlineStr">
        <is>
          <t>Melany Sarah Chavez Condori</t>
        </is>
      </c>
      <c r="E45" s="6" t="inlineStr">
        <is>
          <t>Entregado</t>
        </is>
      </c>
      <c r="F45" s="9" t="n">
        <v>46306</v>
      </c>
      <c r="G45" s="6" t="inlineStr">
        <is>
          <t>Word</t>
        </is>
      </c>
      <c r="H45" s="6" t="inlineStr">
        <is>
          <t>Sí</t>
        </is>
      </c>
      <c r="I45" s="10" t="inlineStr">
        <is>
          <t xml:space="preserve">Documento Misión, Visión y Perfil Profesional 2026; también en Documento 04 Plan de Estudios 2026</t>
        </is>
      </c>
      <c r="J45" s="6" t="n">
        <v>1</v>
      </c>
    </row>
    <row r="46">
      <c r="A46" s="6" t="inlineStr">
        <is>
          <t>4.2.6</t>
        </is>
      </c>
      <c r="B46" s="7" t="inlineStr">
        <is>
          <t>Competencias específicas de la profesión</t>
        </is>
      </c>
      <c r="C46" s="8" t="inlineStr">
        <is>
          <t>Hinojosa</t>
        </is>
      </c>
      <c r="D46" s="8" t="inlineStr">
        <is>
          <t>Melany Sarah Chavez Condori</t>
        </is>
      </c>
      <c r="E46" s="6" t="inlineStr">
        <is>
          <t>Entregado</t>
        </is>
      </c>
      <c r="F46" s="9" t="n">
        <v>46306</v>
      </c>
      <c r="G46" s="6" t="inlineStr">
        <is>
          <t>Word</t>
        </is>
      </c>
      <c r="H46" s="6" t="inlineStr">
        <is>
          <t>Sí</t>
        </is>
      </c>
      <c r="I46" s="10" t="inlineStr">
        <is>
          <t>Documento Misión, Visión y Perfil Profesional 2026</t>
        </is>
      </c>
      <c r="J46" s="6" t="n">
        <v>1</v>
      </c>
    </row>
    <row r="47">
      <c r="A47" s="6" t="inlineStr">
        <is>
          <t>4.2.7</t>
        </is>
      </c>
      <c r="B47" s="7" t="inlineStr">
        <is>
          <t>Perfil profesional</t>
        </is>
      </c>
      <c r="C47" s="8" t="inlineStr">
        <is>
          <t>Hinojosa</t>
        </is>
      </c>
      <c r="D47" s="8" t="inlineStr">
        <is>
          <t>Melany Sarah Chavez Condori</t>
        </is>
      </c>
      <c r="E47" s="6" t="inlineStr">
        <is>
          <t>Entregado</t>
        </is>
      </c>
      <c r="F47" s="9" t="n">
        <v>46306</v>
      </c>
      <c r="G47" s="6" t="inlineStr">
        <is>
          <t>Word</t>
        </is>
      </c>
      <c r="H47" s="6" t="inlineStr">
        <is>
          <t>Sí</t>
        </is>
      </c>
      <c r="I47" s="10" t="inlineStr">
        <is>
          <t xml:space="preserve">Documento Misión, Visión y Perfil Profesional 2026; también en Documento 04 Plan de Estudios 2026</t>
        </is>
      </c>
      <c r="J47" s="6" t="n">
        <v>1</v>
      </c>
    </row>
    <row r="48">
      <c r="A48" s="11" t="inlineStr">
        <is>
          <t>4.3</t>
        </is>
      </c>
      <c r="B48" s="12" t="inlineStr">
        <is>
          <t>Plan de estudios propuesto</t>
        </is>
      </c>
      <c r="C48" s="13" t="inlineStr">
        <is>
          <t>Mendoza Elias</t>
        </is>
      </c>
      <c r="D48" s="13" t="inlineStr">
        <is>
          <t>Gisela Leila Fernandez Cazas</t>
        </is>
      </c>
      <c r="E48" s="11">
        <f>IF(SUMPRODUCT(($J$49:$J$53=1)*($E$49:$E$53="Entregado"))=SUMPRODUCT(($J$49:$J$53=1)*1),"Completo",IF(SUMPRODUCT(($J$49:$J$53=1)*($E$49:$E$53="Pendiente"))=SUMPRODUCT(($J$49:$J$53=1)*1),"Pendiente","En proceso"))</f>
        <v/>
      </c>
      <c r="F48" s="11">
        <f>SUMPRODUCT(($J$49:$J$53=1)*($E$49:$E$53="Entregado"))&amp;" de "&amp;SUMPRODUCT(($J$49:$J$53=1)*1)</f>
        <v/>
      </c>
      <c r="G48" s="11" t="inlineStr">
        <is>
          <t>—</t>
        </is>
      </c>
      <c r="H48" s="11" t="inlineStr">
        <is>
          <t>—</t>
        </is>
      </c>
      <c r="I48" s="14" t="inlineStr"/>
      <c r="J48" s="11" t="n">
        <v>0</v>
      </c>
    </row>
    <row r="49">
      <c r="A49" s="6" t="inlineStr">
        <is>
          <t>4.3.1</t>
        </is>
      </c>
      <c r="B49" s="7" t="inlineStr">
        <is>
          <t>Modelo curricular</t>
        </is>
      </c>
      <c r="C49" s="8" t="inlineStr">
        <is>
          <t>Mendoza Elias</t>
        </is>
      </c>
      <c r="D49" s="8" t="inlineStr">
        <is>
          <t>Gisela Leila Fernandez Cazas</t>
        </is>
      </c>
      <c r="E49" s="6" t="inlineStr">
        <is>
          <t>Pendiente</t>
        </is>
      </c>
      <c r="F49" s="9" t="n"/>
      <c r="G49" s="6" t="n"/>
      <c r="H49" s="6" t="inlineStr">
        <is>
          <t>No</t>
        </is>
      </c>
      <c r="I49" s="10" t="n"/>
      <c r="J49" s="6" t="n">
        <v>1</v>
      </c>
    </row>
    <row r="50">
      <c r="A50" s="6" t="inlineStr">
        <is>
          <t>4.3.2</t>
        </is>
      </c>
      <c r="B50" s="7" t="inlineStr">
        <is>
          <t>Principios del modelo</t>
        </is>
      </c>
      <c r="C50" s="8" t="inlineStr">
        <is>
          <t>Mendoza Elias</t>
        </is>
      </c>
      <c r="D50" s="8" t="inlineStr">
        <is>
          <t>Gisela Leila Fernandez Cazas</t>
        </is>
      </c>
      <c r="E50" s="6" t="inlineStr">
        <is>
          <t>Pendiente</t>
        </is>
      </c>
      <c r="F50" s="9" t="n"/>
      <c r="G50" s="6" t="n"/>
      <c r="H50" s="6" t="inlineStr">
        <is>
          <t>No</t>
        </is>
      </c>
      <c r="I50" s="10" t="n"/>
      <c r="J50" s="6" t="n">
        <v>1</v>
      </c>
    </row>
    <row r="51">
      <c r="A51" s="6" t="inlineStr">
        <is>
          <t>4.3.3</t>
        </is>
      </c>
      <c r="B51" s="7" t="inlineStr">
        <is>
          <t>Objetivo general del diseño, rediseño o ajuste</t>
        </is>
      </c>
      <c r="C51" s="8" t="inlineStr">
        <is>
          <t>Madeny</t>
        </is>
      </c>
      <c r="D51" s="8" t="inlineStr">
        <is>
          <t>Melisa Canaviri</t>
        </is>
      </c>
      <c r="E51" s="6" t="inlineStr">
        <is>
          <t xml:space="preserve">Entregado</t>
        </is>
      </c>
      <c r="F51" s="9" t="n">
        <v>46307</v>
      </c>
      <c r="G51" s="6" t="inlineStr">
        <is>
          <t xml:space="preserve">Word</t>
        </is>
      </c>
      <c r="H51" s="6" t="inlineStr">
        <is>
          <t xml:space="preserve">Sí</t>
        </is>
      </c>
      <c r="I51" s="10" t="inlineStr">
        <is>
          <t xml:space="preserve">Documento 04 Plan de Estudios 2026</t>
        </is>
      </c>
      <c r="J51" s="6" t="n">
        <v>1</v>
      </c>
    </row>
    <row r="52">
      <c r="A52" s="6" t="inlineStr">
        <is>
          <t>4.3.4</t>
        </is>
      </c>
      <c r="B52" s="7" t="inlineStr">
        <is>
          <t>Objetivos específicos del diseño, rediseño o ajuste</t>
        </is>
      </c>
      <c r="C52" s="8" t="inlineStr">
        <is>
          <t>Madeny</t>
        </is>
      </c>
      <c r="D52" s="8" t="inlineStr">
        <is>
          <t>Melisa Canaviri</t>
        </is>
      </c>
      <c r="E52" s="6" t="inlineStr">
        <is>
          <t xml:space="preserve">Entregado</t>
        </is>
      </c>
      <c r="F52" s="9" t="n">
        <v>46307</v>
      </c>
      <c r="G52" s="6" t="inlineStr">
        <is>
          <t xml:space="preserve">Word</t>
        </is>
      </c>
      <c r="H52" s="6" t="inlineStr">
        <is>
          <t xml:space="preserve">Sí</t>
        </is>
      </c>
      <c r="I52" s="10" t="inlineStr">
        <is>
          <t xml:space="preserve">Documento 04 Plan de Estudios 2026</t>
        </is>
      </c>
      <c r="J52" s="6" t="n">
        <v>1</v>
      </c>
    </row>
    <row r="53">
      <c r="A53" s="6" t="inlineStr">
        <is>
          <t>4.3.5</t>
        </is>
      </c>
      <c r="B53" s="7" t="inlineStr">
        <is>
          <t>Duración de la carrera en años o semestres</t>
        </is>
      </c>
      <c r="C53" s="8" t="inlineStr">
        <is>
          <t>Madeny</t>
        </is>
      </c>
      <c r="D53" s="8" t="inlineStr">
        <is>
          <t>Melisa Canaviri</t>
        </is>
      </c>
      <c r="E53" s="6" t="inlineStr">
        <is>
          <t>Pendiente</t>
        </is>
      </c>
      <c r="F53" s="9" t="n"/>
      <c r="G53" s="6" t="n"/>
      <c r="H53" s="6" t="inlineStr">
        <is>
          <t>No</t>
        </is>
      </c>
      <c r="I53" s="10" t="n"/>
      <c r="J53" s="6" t="n">
        <v>1</v>
      </c>
    </row>
    <row r="54">
      <c r="A54" s="11" t="inlineStr">
        <is>
          <t>4.4</t>
        </is>
      </c>
      <c r="B54" s="12" t="inlineStr">
        <is>
          <t>Estructura curricular</t>
        </is>
      </c>
      <c r="C54" s="13" t="inlineStr">
        <is>
          <t>Comisión Supra</t>
        </is>
      </c>
      <c r="D54" s="13" t="inlineStr">
        <is>
          <t>Comisión Supra</t>
        </is>
      </c>
      <c r="E54" s="11">
        <f>IF(SUMPRODUCT(($J$55:$J$58=1)*($E$55:$E$58="Entregado"))=SUMPRODUCT(($J$55:$J$58=1)*1),"Completo",IF(SUMPRODUCT(($J$55:$J$58=1)*($E$55:$E$58="Pendiente"))=SUMPRODUCT(($J$55:$J$58=1)*1),"Pendiente","En proceso"))</f>
        <v/>
      </c>
      <c r="F54" s="11">
        <f>SUMPRODUCT(($J$55:$J$58=1)*($E$55:$E$58="Entregado"))&amp;" de "&amp;SUMPRODUCT(($J$55:$J$58=1)*1)</f>
        <v/>
      </c>
      <c r="G54" s="11" t="inlineStr">
        <is>
          <t>—</t>
        </is>
      </c>
      <c r="H54" s="11" t="inlineStr">
        <is>
          <t>—</t>
        </is>
      </c>
      <c r="I54" s="14" t="inlineStr"/>
      <c r="J54" s="11" t="n">
        <v>0</v>
      </c>
    </row>
    <row r="55">
      <c r="A55" s="6" t="inlineStr">
        <is>
          <t>4.4.1</t>
        </is>
      </c>
      <c r="B55" s="7" t="inlineStr">
        <is>
          <t>Descripción de la organización curricular (organización de la asignatura por áreas o ejes de conocimiento)</t>
        </is>
      </c>
      <c r="C55" s="8" t="inlineStr">
        <is>
          <t>Comisión Supra</t>
        </is>
      </c>
      <c r="D55" s="8" t="inlineStr">
        <is>
          <t>Comisión Supra</t>
        </is>
      </c>
      <c r="E55" s="6" t="inlineStr">
        <is>
          <t xml:space="preserve">Entregado</t>
        </is>
      </c>
      <c r="F55" s="9" t="n">
        <v>46307</v>
      </c>
      <c r="G55" s="6" t="inlineStr">
        <is>
          <t xml:space="preserve">Word</t>
        </is>
      </c>
      <c r="H55" s="6" t="inlineStr">
        <is>
          <t xml:space="preserve">Sí</t>
        </is>
      </c>
      <c r="I55" s="10" t="inlineStr">
        <is>
          <t xml:space="preserve">Documento 04 Plan de Estudios 2026</t>
        </is>
      </c>
      <c r="J55" s="6" t="n">
        <v>1</v>
      </c>
    </row>
    <row r="56">
      <c r="A56" s="6" t="inlineStr">
        <is>
          <t>4.4.2</t>
        </is>
      </c>
      <c r="B56" s="7" t="inlineStr">
        <is>
          <t>Mapa de competencia (competencia y unidades de competencia)</t>
        </is>
      </c>
      <c r="C56" s="8" t="inlineStr">
        <is>
          <t>Comisión Supra</t>
        </is>
      </c>
      <c r="D56" s="8" t="inlineStr">
        <is>
          <t>Comisión Supra</t>
        </is>
      </c>
      <c r="E56" s="6" t="inlineStr">
        <is>
          <t xml:space="preserve">Entregado</t>
        </is>
      </c>
      <c r="F56" s="9" t="n">
        <v>46307</v>
      </c>
      <c r="G56" s="6" t="inlineStr">
        <is>
          <t xml:space="preserve">Word</t>
        </is>
      </c>
      <c r="H56" s="6" t="inlineStr">
        <is>
          <t xml:space="preserve">Sí</t>
        </is>
      </c>
      <c r="I56" s="10" t="inlineStr">
        <is>
          <t xml:space="preserve">Documento 04 Plan de Estudios 2026</t>
        </is>
      </c>
      <c r="J56" s="6" t="n">
        <v>1</v>
      </c>
    </row>
    <row r="57">
      <c r="A57" s="6" t="inlineStr">
        <is>
          <t>4.4.3</t>
        </is>
      </c>
      <c r="B57" s="7" t="inlineStr">
        <is>
          <t>Malla curricular (siglas, nombres de la asignatura, carga horaria, créditos, prerrequisitos) por ciclos y semestres/año</t>
        </is>
      </c>
      <c r="C57" s="8" t="inlineStr">
        <is>
          <t>Comisión Supra</t>
        </is>
      </c>
      <c r="D57" s="8" t="inlineStr">
        <is>
          <t>Comisión Supra</t>
        </is>
      </c>
      <c r="E57" s="6" t="inlineStr">
        <is>
          <t xml:space="preserve">Entregado</t>
        </is>
      </c>
      <c r="F57" s="9" t="n">
        <v>46307</v>
      </c>
      <c r="G57" s="6" t="inlineStr">
        <is>
          <t xml:space="preserve">Word</t>
        </is>
      </c>
      <c r="H57" s="6" t="inlineStr">
        <is>
          <t xml:space="preserve">Sí</t>
        </is>
      </c>
      <c r="I57" s="10" t="inlineStr">
        <is>
          <t xml:space="preserve">Documento 04 Plan de Estudios 2026</t>
        </is>
      </c>
      <c r="J57" s="6" t="n">
        <v>1</v>
      </c>
    </row>
    <row r="58">
      <c r="A58" s="6" t="inlineStr">
        <is>
          <t>4.4.4</t>
        </is>
      </c>
      <c r="B58" s="7" t="inlineStr">
        <is>
          <t>Cuadro de asignación de cargas horarias presenciales, no presenciales, (según formato)</t>
        </is>
      </c>
      <c r="C58" s="8" t="inlineStr">
        <is>
          <t>Comisión Supra</t>
        </is>
      </c>
      <c r="D58" s="8" t="inlineStr">
        <is>
          <t>Comisión Supra</t>
        </is>
      </c>
      <c r="E58" s="6" t="inlineStr">
        <is>
          <t xml:space="preserve">Entregado</t>
        </is>
      </c>
      <c r="F58" s="9" t="n">
        <v>46307</v>
      </c>
      <c r="G58" s="6" t="inlineStr">
        <is>
          <t xml:space="preserve">Word</t>
        </is>
      </c>
      <c r="H58" s="6" t="inlineStr">
        <is>
          <t xml:space="preserve">Sí</t>
        </is>
      </c>
      <c r="I58" s="10" t="inlineStr">
        <is>
          <t xml:space="preserve">Documento 04 Plan de Estudios 2026</t>
        </is>
      </c>
      <c r="J58" s="6" t="n">
        <v>1</v>
      </c>
    </row>
    <row r="59">
      <c r="A59" s="11" t="inlineStr">
        <is>
          <t>4.5</t>
        </is>
      </c>
      <c r="B59" s="12" t="inlineStr">
        <is>
          <t>Planes de asignatura (descripción de la asignatura)</t>
        </is>
      </c>
      <c r="C59" s="13" t="inlineStr">
        <is>
          <t>Subcomisiones por área</t>
        </is>
      </c>
      <c r="D59" s="13" t="inlineStr">
        <is>
          <t>Subcomisiones por área</t>
        </is>
      </c>
      <c r="E59" s="11">
        <f>IF(SUMPRODUCT(($J$60:$J$68=1)*($E$60:$E$68="Entregado"))=SUMPRODUCT(($J$60:$J$68=1)*1),"Completo",IF(SUMPRODUCT(($J$60:$J$68=1)*($E$60:$E$68="Pendiente"))=SUMPRODUCT(($J$60:$J$68=1)*1),"Pendiente","En proceso"))</f>
        <v/>
      </c>
      <c r="F59" s="11">
        <f>SUMPRODUCT(($J$60:$J$68=1)*($E$60:$E$68="Entregado"))&amp;" de "&amp;SUMPRODUCT(($J$60:$J$68=1)*1)</f>
        <v/>
      </c>
      <c r="G59" s="11" t="inlineStr">
        <is>
          <t>—</t>
        </is>
      </c>
      <c r="H59" s="11" t="inlineStr">
        <is>
          <t>—</t>
        </is>
      </c>
      <c r="I59" s="14" t="inlineStr"/>
      <c r="J59" s="11" t="n">
        <v>0</v>
      </c>
    </row>
    <row r="60">
      <c r="A60" s="6" t="inlineStr">
        <is>
          <t>4.5-a</t>
        </is>
      </c>
      <c r="B60" s="7" t="inlineStr">
        <is>
          <t>Subcomisión Información Financiera General</t>
        </is>
      </c>
      <c r="C60" s="8" t="inlineStr">
        <is>
          <t>Gonzalo Terán Gandarillas / Edwin Gutiérrez Zapana</t>
        </is>
      </c>
      <c r="D60" s="8" t="inlineStr">
        <is>
          <t>Jose David Huanca Callizaya / Elva Danitza Cachaga Alanoca</t>
        </is>
      </c>
      <c r="E60" s="6" t="inlineStr">
        <is>
          <t>Pendiente</t>
        </is>
      </c>
      <c r="F60" s="9" t="n"/>
      <c r="G60" s="6" t="n"/>
      <c r="H60" s="6" t="inlineStr">
        <is>
          <t>No</t>
        </is>
      </c>
      <c r="I60" s="10" t="n"/>
      <c r="J60" s="6" t="n">
        <v>1</v>
      </c>
    </row>
    <row r="61">
      <c r="A61" s="6" t="inlineStr">
        <is>
          <t>4.5-b</t>
        </is>
      </c>
      <c r="B61" s="7" t="inlineStr">
        <is>
          <t>Subcomisión Información Financiera Especializada</t>
        </is>
      </c>
      <c r="C61" s="8" t="inlineStr">
        <is>
          <t>Edith Esther López Mamani / Guido Rogelio Yujra Segales</t>
        </is>
      </c>
      <c r="D61" s="8" t="inlineStr">
        <is>
          <t>Leonardo Fabio Oblitas Flores / Marco Marcelo Escobar Bozo</t>
        </is>
      </c>
      <c r="E61" s="6" t="inlineStr">
        <is>
          <t>Pendiente</t>
        </is>
      </c>
      <c r="F61" s="9" t="n"/>
      <c r="G61" s="6" t="n"/>
      <c r="H61" s="6" t="inlineStr">
        <is>
          <t>No</t>
        </is>
      </c>
      <c r="I61" s="10" t="n"/>
      <c r="J61" s="6" t="n">
        <v>1</v>
      </c>
    </row>
    <row r="62">
      <c r="A62" s="6" t="inlineStr">
        <is>
          <t>4.5-c</t>
        </is>
      </c>
      <c r="B62" s="7" t="inlineStr">
        <is>
          <t>Subcomisión Servicios de Aseguramiento y No Aseguramiento</t>
        </is>
      </c>
      <c r="C62" s="8" t="inlineStr">
        <is>
          <t>Martin Calani / Víctor Delfín Pelaez Mariscal</t>
        </is>
      </c>
      <c r="D62" s="8" t="inlineStr">
        <is>
          <t>Valery Tatiana Chuquimia Rojas / Rocio del Alba Flores Colque</t>
        </is>
      </c>
      <c r="E62" s="6" t="inlineStr">
        <is>
          <t>Pendiente</t>
        </is>
      </c>
      <c r="F62" s="9" t="n"/>
      <c r="G62" s="6" t="n"/>
      <c r="H62" s="6" t="inlineStr">
        <is>
          <t>No</t>
        </is>
      </c>
      <c r="I62" s="10" t="n"/>
      <c r="J62" s="6" t="n">
        <v>1</v>
      </c>
    </row>
    <row r="63">
      <c r="A63" s="6" t="inlineStr">
        <is>
          <t>4.5-d</t>
        </is>
      </c>
      <c r="B63" s="7" t="inlineStr">
        <is>
          <t>Subcomisión Sistemas</t>
        </is>
      </c>
      <c r="C63" s="8" t="inlineStr">
        <is>
          <t>Juan Carlos Lea Plaza Lopez / Miguel Cotaña Mier</t>
        </is>
      </c>
      <c r="D63" s="8" t="inlineStr">
        <is>
          <t>Pillco Yana Camila / Zambrana Barrionuevo Jheferson</t>
        </is>
      </c>
      <c r="E63" s="6" t="inlineStr">
        <is>
          <t>Pendiente</t>
        </is>
      </c>
      <c r="F63" s="9" t="n"/>
      <c r="G63" s="6" t="n"/>
      <c r="H63" s="6" t="inlineStr">
        <is>
          <t>No</t>
        </is>
      </c>
      <c r="I63" s="10" t="n"/>
      <c r="J63" s="6" t="n">
        <v>1</v>
      </c>
    </row>
    <row r="64">
      <c r="A64" s="6" t="inlineStr">
        <is>
          <t>4.5-e</t>
        </is>
      </c>
      <c r="B64" s="7" t="inlineStr">
        <is>
          <t>Subcomisión Administración</t>
        </is>
      </c>
      <c r="C64" s="8" t="inlineStr">
        <is>
          <t>Juan Carlos Sánchez Bolaños / Orlando Alfato</t>
        </is>
      </c>
      <c r="D64" s="8" t="inlineStr">
        <is>
          <t>Luz Alejandra Chavez Conde / Nicol Tatiana Cornejo Choque</t>
        </is>
      </c>
      <c r="E64" s="6" t="inlineStr">
        <is>
          <t>Pendiente</t>
        </is>
      </c>
      <c r="F64" s="9" t="n"/>
      <c r="G64" s="6" t="n"/>
      <c r="H64" s="6" t="inlineStr">
        <is>
          <t>No</t>
        </is>
      </c>
      <c r="I64" s="10" t="n"/>
      <c r="J64" s="6" t="n">
        <v>1</v>
      </c>
    </row>
    <row r="65">
      <c r="A65" s="6" t="inlineStr">
        <is>
          <t>4.5-f</t>
        </is>
      </c>
      <c r="B65" s="7" t="inlineStr">
        <is>
          <t>Subcomisión Derecho</t>
        </is>
      </c>
      <c r="C65" s="8" t="inlineStr">
        <is>
          <t>Walter Marcelo Torrez Quispe / Ricardo Ramiro Tola Fernández</t>
        </is>
      </c>
      <c r="D65" s="8" t="inlineStr">
        <is>
          <t>Anthony Alexander Espinoza Gutierrez / Fernanda Camila Gonzales Quispe</t>
        </is>
      </c>
      <c r="E65" s="6" t="inlineStr">
        <is>
          <t>Pendiente</t>
        </is>
      </c>
      <c r="F65" s="9" t="n"/>
      <c r="G65" s="6" t="n"/>
      <c r="H65" s="6" t="inlineStr">
        <is>
          <t>No</t>
        </is>
      </c>
      <c r="I65" s="10" t="n"/>
      <c r="J65" s="6" t="n">
        <v>1</v>
      </c>
    </row>
    <row r="66">
      <c r="A66" s="6" t="inlineStr">
        <is>
          <t>4.5-g</t>
        </is>
      </c>
      <c r="B66" s="7" t="inlineStr">
        <is>
          <t>Subcomisión Economía</t>
        </is>
      </c>
      <c r="C66" s="8" t="inlineStr">
        <is>
          <t>Luis Medina Rivero / Espejo Davalos Juvenal</t>
        </is>
      </c>
      <c r="D66" s="8" t="inlineStr">
        <is>
          <t>Carla Isabel Huiza Callisaya / Jhamil Sander Quispe Mamani</t>
        </is>
      </c>
      <c r="E66" s="6" t="inlineStr">
        <is>
          <t>Pendiente</t>
        </is>
      </c>
      <c r="F66" s="9" t="n"/>
      <c r="G66" s="6" t="n"/>
      <c r="H66" s="6" t="inlineStr">
        <is>
          <t>No</t>
        </is>
      </c>
      <c r="I66" s="10" t="n"/>
      <c r="J66" s="6" t="n">
        <v>1</v>
      </c>
    </row>
    <row r="67">
      <c r="A67" s="6" t="inlineStr">
        <is>
          <t>4.5-h</t>
        </is>
      </c>
      <c r="B67" s="7" t="inlineStr">
        <is>
          <t>Subcomisión Metodología de la Investigación</t>
        </is>
      </c>
      <c r="C67" s="8" t="inlineStr">
        <is>
          <t>Sigfrido Ariel Burgoa Cortez / Jorge Cespedes Esteves</t>
        </is>
      </c>
      <c r="D67" s="8" t="inlineStr">
        <is>
          <t>Taiz Alejandra Cano Chuyma</t>
        </is>
      </c>
      <c r="E67" s="6" t="inlineStr">
        <is>
          <t>Pendiente</t>
        </is>
      </c>
      <c r="F67" s="9" t="n"/>
      <c r="G67" s="6" t="n"/>
      <c r="H67" s="6" t="inlineStr">
        <is>
          <t>No</t>
        </is>
      </c>
      <c r="I67" s="10" t="n"/>
      <c r="J67" s="6" t="n">
        <v>1</v>
      </c>
    </row>
    <row r="68">
      <c r="A68" s="6" t="inlineStr">
        <is>
          <t>4.5-i</t>
        </is>
      </c>
      <c r="B68" s="7" t="inlineStr">
        <is>
          <t>Subcomisión Matemática</t>
        </is>
      </c>
      <c r="C68" s="8" t="inlineStr">
        <is>
          <t>Darío David Yujra Crespo / Domingo Julio Pérez Centellas</t>
        </is>
      </c>
      <c r="D68" s="8" t="inlineStr">
        <is>
          <t>Eileen Juarez Flores / Jaime Andres Patty Lazcano</t>
        </is>
      </c>
      <c r="E68" s="6" t="inlineStr">
        <is>
          <t>Pendiente</t>
        </is>
      </c>
      <c r="F68" s="9" t="n"/>
      <c r="G68" s="6" t="n"/>
      <c r="H68" s="6" t="inlineStr">
        <is>
          <t>No</t>
        </is>
      </c>
      <c r="I68" s="10" t="n"/>
      <c r="J68" s="6" t="n">
        <v>1</v>
      </c>
    </row>
    <row r="69">
      <c r="A69" s="15" t="inlineStr">
        <is>
          <t>4.6</t>
        </is>
      </c>
      <c r="B69" s="16" t="inlineStr">
        <is>
          <t>Estrategias de aprendizaje y estrategias de enseñanza (estrategias, métodos, tipos, recursos)</t>
        </is>
      </c>
      <c r="C69" s="17" t="inlineStr">
        <is>
          <t>Sin asignar</t>
        </is>
      </c>
      <c r="D69" s="17" t="inlineStr">
        <is>
          <t>Sin asignar</t>
        </is>
      </c>
      <c r="E69" s="15" t="inlineStr">
        <is>
          <t>Pendiente</t>
        </is>
      </c>
      <c r="F69" s="18" t="n"/>
      <c r="G69" s="15" t="n"/>
      <c r="H69" s="15" t="inlineStr">
        <is>
          <t>No</t>
        </is>
      </c>
      <c r="I69" s="19" t="n"/>
      <c r="J69" s="15" t="n">
        <v>1</v>
      </c>
    </row>
    <row r="70">
      <c r="A70" s="15" t="inlineStr">
        <is>
          <t>4.7</t>
        </is>
      </c>
      <c r="B70" s="16" t="inlineStr">
        <is>
          <t>Evaluación de aprendizajes (estrategias, métodos, tipos, procedimientos, instrumentos y pruebas a desarrollar)</t>
        </is>
      </c>
      <c r="C70" s="17" t="inlineStr">
        <is>
          <t>Sin asignar</t>
        </is>
      </c>
      <c r="D70" s="17" t="inlineStr">
        <is>
          <t>Sin asignar</t>
        </is>
      </c>
      <c r="E70" s="15" t="inlineStr">
        <is>
          <t xml:space="preserve">Entregado</t>
        </is>
      </c>
      <c r="F70" s="9" t="n">
        <v>46307</v>
      </c>
      <c r="G70" s="15" t="inlineStr">
        <is>
          <t xml:space="preserve">Word</t>
        </is>
      </c>
      <c r="H70" s="15" t="inlineStr">
        <is>
          <t xml:space="preserve">Sí</t>
        </is>
      </c>
      <c r="I70" s="19" t="inlineStr">
        <is>
          <t xml:space="preserve">Documento 04 Plan de Estudios 2026</t>
        </is>
      </c>
      <c r="J70" s="15" t="n">
        <v>1</v>
      </c>
    </row>
    <row r="71">
      <c r="A71" s="15" t="inlineStr">
        <is>
          <t>4.8</t>
        </is>
      </c>
      <c r="B71" s="16" t="inlineStr">
        <is>
          <t>Prácticas preprofesionales</t>
        </is>
      </c>
      <c r="C71" s="17" t="inlineStr">
        <is>
          <t>Sin asignar</t>
        </is>
      </c>
      <c r="D71" s="17" t="inlineStr">
        <is>
          <t>Sin asignar</t>
        </is>
      </c>
      <c r="E71" s="15" t="inlineStr">
        <is>
          <t>Pendiente</t>
        </is>
      </c>
      <c r="F71" s="18" t="n"/>
      <c r="G71" s="15" t="n"/>
      <c r="H71" s="15" t="inlineStr">
        <is>
          <t>No</t>
        </is>
      </c>
      <c r="I71" s="19" t="n"/>
      <c r="J71" s="15" t="n">
        <v>1</v>
      </c>
    </row>
    <row r="72">
      <c r="A72" s="3" t="inlineStr">
        <is>
          <t>5.</t>
        </is>
      </c>
      <c r="B72" s="4" t="inlineStr">
        <is>
          <t>Admisión, promoción y graduación</t>
        </is>
      </c>
      <c r="C72" s="4" t="inlineStr">
        <is>
          <t>Daniel Laura Choque</t>
        </is>
      </c>
      <c r="D72" s="4" t="inlineStr">
        <is>
          <t>Sandra Alison Maidana Mamani</t>
        </is>
      </c>
      <c r="E72" s="3">
        <f>IF(SUMPRODUCT(($J$73:$J$76=1)*($E$73:$E$76="Entregado"))=SUMPRODUCT(($J$73:$J$76=1)*1),"Completo",IF(SUMPRODUCT(($J$73:$J$76=1)*($E$73:$E$76="Pendiente"))=SUMPRODUCT(($J$73:$J$76=1)*1),"Pendiente","En proceso"))</f>
        <v/>
      </c>
      <c r="F72" s="3">
        <f>SUMPRODUCT(($J$73:$J$76=1)*($E$73:$E$76="Entregado"))&amp;" de "&amp;SUMPRODUCT(($J$73:$J$76=1)*1)</f>
        <v/>
      </c>
      <c r="G72" s="3" t="inlineStr">
        <is>
          <t>—</t>
        </is>
      </c>
      <c r="H72" s="3" t="inlineStr">
        <is>
          <t>—</t>
        </is>
      </c>
      <c r="I72" s="5" t="inlineStr"/>
      <c r="J72" s="3" t="n">
        <v>0</v>
      </c>
    </row>
    <row r="73">
      <c r="A73" s="6" t="inlineStr">
        <is>
          <t>5.1</t>
        </is>
      </c>
      <c r="B73" s="7" t="inlineStr">
        <is>
          <t>Perfil del postulante</t>
        </is>
      </c>
      <c r="C73" s="8" t="inlineStr">
        <is>
          <t>Daniel Laura Choque</t>
        </is>
      </c>
      <c r="D73" s="8" t="inlineStr">
        <is>
          <t>Sandra Alison Maidana Mamani</t>
        </is>
      </c>
      <c r="E73" s="6" t="inlineStr">
        <is>
          <t xml:space="preserve">Entregado</t>
        </is>
      </c>
      <c r="F73" s="9" t="n">
        <v>46307</v>
      </c>
      <c r="G73" s="6" t="inlineStr">
        <is>
          <t xml:space="preserve">Word</t>
        </is>
      </c>
      <c r="H73" s="6" t="inlineStr">
        <is>
          <t xml:space="preserve">Sí</t>
        </is>
      </c>
      <c r="I73" s="10" t="inlineStr">
        <is>
          <t xml:space="preserve">Documento 04 Plan de Estudios 2026</t>
        </is>
      </c>
      <c r="J73" s="6" t="n">
        <v>1</v>
      </c>
    </row>
    <row r="74">
      <c r="A74" s="6" t="inlineStr">
        <is>
          <t>5.2</t>
        </is>
      </c>
      <c r="B74" s="7" t="inlineStr">
        <is>
          <t>Modalidades de admisión</t>
        </is>
      </c>
      <c r="C74" s="8" t="inlineStr">
        <is>
          <t>Daniel Laura Choque</t>
        </is>
      </c>
      <c r="D74" s="8" t="inlineStr">
        <is>
          <t>Sandra Alison Maidana Mamani</t>
        </is>
      </c>
      <c r="E74" s="6" t="inlineStr">
        <is>
          <t xml:space="preserve">Entregado</t>
        </is>
      </c>
      <c r="F74" s="9" t="n">
        <v>46307</v>
      </c>
      <c r="G74" s="6" t="inlineStr">
        <is>
          <t xml:space="preserve">Word</t>
        </is>
      </c>
      <c r="H74" s="6" t="inlineStr">
        <is>
          <t xml:space="preserve">Sí</t>
        </is>
      </c>
      <c r="I74" s="10" t="inlineStr">
        <is>
          <t xml:space="preserve">Documento 04 Plan de Estudios 2026</t>
        </is>
      </c>
      <c r="J74" s="6" t="n">
        <v>1</v>
      </c>
    </row>
    <row r="75">
      <c r="A75" s="6" t="inlineStr">
        <is>
          <t>5.3</t>
        </is>
      </c>
      <c r="B75" s="7" t="inlineStr">
        <is>
          <t>Condiciones de permanencia, licencias, suspensiones, plazo máximo de reincorporación, abandono, etc.</t>
        </is>
      </c>
      <c r="C75" s="8" t="inlineStr">
        <is>
          <t>Jorge Ordoñez Oporto</t>
        </is>
      </c>
      <c r="D75" s="8" t="inlineStr">
        <is>
          <t>Josue Pilco Tito</t>
        </is>
      </c>
      <c r="E75" s="6" t="inlineStr">
        <is>
          <t xml:space="preserve">Entregado</t>
        </is>
      </c>
      <c r="F75" s="9" t="n">
        <v>46307</v>
      </c>
      <c r="G75" s="6" t="inlineStr">
        <is>
          <t xml:space="preserve">Word</t>
        </is>
      </c>
      <c r="H75" s="6" t="inlineStr">
        <is>
          <t xml:space="preserve">Sí</t>
        </is>
      </c>
      <c r="I75" s="10" t="inlineStr">
        <is>
          <t xml:space="preserve">Documento 04 Plan de Estudios 2026</t>
        </is>
      </c>
      <c r="J75" s="6" t="n">
        <v>1</v>
      </c>
    </row>
    <row r="76">
      <c r="A76" s="6" t="inlineStr">
        <is>
          <t>5.4</t>
        </is>
      </c>
      <c r="B76" s="7" t="inlineStr">
        <is>
          <t>Modalidades de graduación</t>
        </is>
      </c>
      <c r="C76" s="8" t="inlineStr">
        <is>
          <t>Jorge Ordoñez Oporto</t>
        </is>
      </c>
      <c r="D76" s="8" t="inlineStr">
        <is>
          <t>Josue Pilco Tito</t>
        </is>
      </c>
      <c r="E76" s="6" t="inlineStr">
        <is>
          <t xml:space="preserve">Entregado</t>
        </is>
      </c>
      <c r="F76" s="9" t="n">
        <v>46307</v>
      </c>
      <c r="G76" s="6" t="inlineStr">
        <is>
          <t xml:space="preserve">Word</t>
        </is>
      </c>
      <c r="H76" s="6" t="inlineStr">
        <is>
          <t xml:space="preserve">Sí</t>
        </is>
      </c>
      <c r="I76" s="10" t="inlineStr">
        <is>
          <t xml:space="preserve">Documento 04 Plan de Estudios 2026</t>
        </is>
      </c>
      <c r="J76" s="6" t="n">
        <v>1</v>
      </c>
    </row>
    <row r="77">
      <c r="A77" s="3" t="inlineStr">
        <is>
          <t>6.</t>
        </is>
      </c>
      <c r="B77" s="4" t="inlineStr">
        <is>
          <t>Investigación (articulada con los institutos o unidades de investigación relacionados con la carrera/programa)</t>
        </is>
      </c>
      <c r="C77" s="4" t="inlineStr">
        <is>
          <t>Jorge Cespedes Esteves</t>
        </is>
      </c>
      <c r="D77" s="4" t="inlineStr">
        <is>
          <t>Gustavo Adolfo Aguilar Huanca</t>
        </is>
      </c>
      <c r="E77" s="3">
        <f>IF(SUMPRODUCT(($J$78:$J$79=1)*($E$78:$E$79="Entregado"))=SUMPRODUCT(($J$78:$J$79=1)*1),"Completo",IF(SUMPRODUCT(($J$78:$J$79=1)*($E$78:$E$79="Pendiente"))=SUMPRODUCT(($J$78:$J$79=1)*1),"Pendiente","En proceso"))</f>
        <v/>
      </c>
      <c r="F77" s="3">
        <f>SUMPRODUCT(($J$78:$J$79=1)*($E$78:$E$79="Entregado"))&amp;" de "&amp;SUMPRODUCT(($J$78:$J$79=1)*1)</f>
        <v/>
      </c>
      <c r="G77" s="3" t="inlineStr">
        <is>
          <t>—</t>
        </is>
      </c>
      <c r="H77" s="3" t="inlineStr">
        <is>
          <t>—</t>
        </is>
      </c>
      <c r="I77" s="5" t="inlineStr"/>
      <c r="J77" s="3" t="n">
        <v>0</v>
      </c>
    </row>
    <row r="78">
      <c r="A78" s="6" t="inlineStr">
        <is>
          <t>6.1</t>
        </is>
      </c>
      <c r="B78" s="7" t="inlineStr">
        <is>
          <t>Políticas de investigación</t>
        </is>
      </c>
      <c r="C78" s="8" t="inlineStr">
        <is>
          <t>Jorge Cespedes Esteves</t>
        </is>
      </c>
      <c r="D78" s="8" t="inlineStr">
        <is>
          <t>Gustavo Adolfo Aguilar Huanca</t>
        </is>
      </c>
      <c r="E78" s="6" t="inlineStr">
        <is>
          <t>Pendiente</t>
        </is>
      </c>
      <c r="F78" s="9" t="n"/>
      <c r="G78" s="6" t="n"/>
      <c r="H78" s="6" t="inlineStr">
        <is>
          <t>No</t>
        </is>
      </c>
      <c r="I78" s="10" t="n"/>
      <c r="J78" s="6" t="n">
        <v>1</v>
      </c>
    </row>
    <row r="79">
      <c r="A79" s="6" t="inlineStr">
        <is>
          <t>6.2</t>
        </is>
      </c>
      <c r="B79" s="7" t="inlineStr">
        <is>
          <t>Líneas de investigación</t>
        </is>
      </c>
      <c r="C79" s="8" t="inlineStr">
        <is>
          <t>Jorge Cespedes Esteves</t>
        </is>
      </c>
      <c r="D79" s="8" t="inlineStr">
        <is>
          <t>Gustavo Adolfo Aguilar Huanca</t>
        </is>
      </c>
      <c r="E79" s="6" t="inlineStr">
        <is>
          <t>Pendiente</t>
        </is>
      </c>
      <c r="F79" s="9" t="n"/>
      <c r="G79" s="6" t="n"/>
      <c r="H79" s="6" t="inlineStr">
        <is>
          <t>No</t>
        </is>
      </c>
      <c r="I79" s="10" t="n"/>
      <c r="J79" s="6" t="n">
        <v>1</v>
      </c>
    </row>
    <row r="80">
      <c r="A80" s="3" t="inlineStr">
        <is>
          <t>7.</t>
        </is>
      </c>
      <c r="B80" s="4" t="inlineStr">
        <is>
          <t>Interacción social y extensión universitaria</t>
        </is>
      </c>
      <c r="C80" s="4" t="inlineStr">
        <is>
          <t>Edith Esther López Mamani</t>
        </is>
      </c>
      <c r="D80" s="4" t="inlineStr">
        <is>
          <t>Analia Calle Mita</t>
        </is>
      </c>
      <c r="E80" s="3">
        <f>IF(SUMPRODUCT(($J$81:$J$82=1)*($E$81:$E$82="Entregado"))=SUMPRODUCT(($J$81:$J$82=1)*1),"Completo",IF(SUMPRODUCT(($J$81:$J$82=1)*($E$81:$E$82="Pendiente"))=SUMPRODUCT(($J$81:$J$82=1)*1),"Pendiente","En proceso"))</f>
        <v/>
      </c>
      <c r="F80" s="3">
        <f>SUMPRODUCT(($J$81:$J$82=1)*($E$81:$E$82="Entregado"))&amp;" de "&amp;SUMPRODUCT(($J$81:$J$82=1)*1)</f>
        <v/>
      </c>
      <c r="G80" s="3" t="inlineStr">
        <is>
          <t>—</t>
        </is>
      </c>
      <c r="H80" s="3" t="inlineStr">
        <is>
          <t>—</t>
        </is>
      </c>
      <c r="I80" s="5" t="inlineStr"/>
      <c r="J80" s="3" t="n">
        <v>0</v>
      </c>
    </row>
    <row r="81">
      <c r="A81" s="6" t="inlineStr">
        <is>
          <t>7.1</t>
        </is>
      </c>
      <c r="B81" s="7" t="inlineStr">
        <is>
          <t>Políticas y líneas de interacción social</t>
        </is>
      </c>
      <c r="C81" s="8" t="inlineStr">
        <is>
          <t>Edith Esther López Mamani</t>
        </is>
      </c>
      <c r="D81" s="8" t="inlineStr">
        <is>
          <t>Analia Calle Mita</t>
        </is>
      </c>
      <c r="E81" s="6" t="inlineStr">
        <is>
          <t>Pendiente</t>
        </is>
      </c>
      <c r="F81" s="9" t="n"/>
      <c r="G81" s="6" t="n"/>
      <c r="H81" s="6" t="inlineStr">
        <is>
          <t>No</t>
        </is>
      </c>
      <c r="I81" s="10" t="n"/>
      <c r="J81" s="6" t="n">
        <v>1</v>
      </c>
    </row>
    <row r="82">
      <c r="A82" s="6" t="inlineStr">
        <is>
          <t>7.2</t>
        </is>
      </c>
      <c r="B82" s="7" t="inlineStr">
        <is>
          <t>Políticas y líneas de extensión universitaria</t>
        </is>
      </c>
      <c r="C82" s="8" t="inlineStr">
        <is>
          <t>Edith Esther López Mamani</t>
        </is>
      </c>
      <c r="D82" s="8" t="inlineStr">
        <is>
          <t>Analia Calle Mita</t>
        </is>
      </c>
      <c r="E82" s="6" t="inlineStr">
        <is>
          <t>Pendiente</t>
        </is>
      </c>
      <c r="F82" s="9" t="n"/>
      <c r="G82" s="6" t="n"/>
      <c r="H82" s="6" t="inlineStr">
        <is>
          <t>No</t>
        </is>
      </c>
      <c r="I82" s="10" t="n"/>
      <c r="J82" s="6" t="n">
        <v>1</v>
      </c>
    </row>
    <row r="83">
      <c r="A83" s="3" t="inlineStr">
        <is>
          <t>8.</t>
        </is>
      </c>
      <c r="B83" s="4" t="inlineStr">
        <is>
          <t>Organización del proceso curricular</t>
        </is>
      </c>
      <c r="C83" s="4" t="inlineStr">
        <is>
          <t>Comisión Supra</t>
        </is>
      </c>
      <c r="D83" s="4" t="inlineStr">
        <is>
          <t>Comisión Supra</t>
        </is>
      </c>
      <c r="E83" s="3">
        <f>IF(SUMPRODUCT(($J$84:$J$89=1)*($E$84:$E$89="Entregado"))=SUMPRODUCT(($J$84:$J$89=1)*1),"Completo",IF(SUMPRODUCT(($J$84:$J$89=1)*($E$84:$E$89="Pendiente"))=SUMPRODUCT(($J$84:$J$89=1)*1),"Pendiente","En proceso"))</f>
        <v/>
      </c>
      <c r="F83" s="3">
        <f>SUMPRODUCT(($J$84:$J$89=1)*($E$84:$E$89="Entregado"))&amp;" de "&amp;SUMPRODUCT(($J$84:$J$89=1)*1)</f>
        <v/>
      </c>
      <c r="G83" s="3" t="inlineStr">
        <is>
          <t>—</t>
        </is>
      </c>
      <c r="H83" s="3" t="inlineStr">
        <is>
          <t>—</t>
        </is>
      </c>
      <c r="I83" s="5" t="inlineStr"/>
      <c r="J83" s="3" t="n">
        <v>0</v>
      </c>
    </row>
    <row r="84">
      <c r="A84" s="6" t="inlineStr">
        <is>
          <t>8.1</t>
        </is>
      </c>
      <c r="B84" s="7" t="inlineStr">
        <is>
          <t>Número de semanas lectivas por semestre/año</t>
        </is>
      </c>
      <c r="C84" s="8" t="inlineStr">
        <is>
          <t>Comisión Supra</t>
        </is>
      </c>
      <c r="D84" s="8" t="inlineStr">
        <is>
          <t>Comisión Supra</t>
        </is>
      </c>
      <c r="E84" s="6" t="inlineStr">
        <is>
          <t>Pendiente</t>
        </is>
      </c>
      <c r="F84" s="9" t="n"/>
      <c r="G84" s="6" t="n"/>
      <c r="H84" s="6" t="inlineStr">
        <is>
          <t>No</t>
        </is>
      </c>
      <c r="I84" s="10" t="n"/>
      <c r="J84" s="6" t="n">
        <v>1</v>
      </c>
    </row>
    <row r="85">
      <c r="A85" s="6" t="inlineStr">
        <is>
          <t>8.2</t>
        </is>
      </c>
      <c r="B85" s="7" t="inlineStr">
        <is>
          <t>Número de horas cronológicas por semana</t>
        </is>
      </c>
      <c r="C85" s="8" t="inlineStr">
        <is>
          <t>Comisión Supra</t>
        </is>
      </c>
      <c r="D85" s="8" t="inlineStr">
        <is>
          <t>Comisión Supra</t>
        </is>
      </c>
      <c r="E85" s="6" t="inlineStr">
        <is>
          <t>Pendiente</t>
        </is>
      </c>
      <c r="F85" s="9" t="n"/>
      <c r="G85" s="6" t="n"/>
      <c r="H85" s="6" t="inlineStr">
        <is>
          <t>No</t>
        </is>
      </c>
      <c r="I85" s="10" t="n"/>
      <c r="J85" s="6" t="n">
        <v>1</v>
      </c>
    </row>
    <row r="86">
      <c r="A86" s="6" t="inlineStr">
        <is>
          <t>8.3</t>
        </is>
      </c>
      <c r="B86" s="7" t="inlineStr">
        <is>
          <t>Total de horas planificadas</t>
        </is>
      </c>
      <c r="C86" s="8" t="inlineStr">
        <is>
          <t>Comisión Supra</t>
        </is>
      </c>
      <c r="D86" s="8" t="inlineStr">
        <is>
          <t>Comisión Supra</t>
        </is>
      </c>
      <c r="E86" s="6" t="inlineStr">
        <is>
          <t>Pendiente</t>
        </is>
      </c>
      <c r="F86" s="9" t="n"/>
      <c r="G86" s="6" t="n"/>
      <c r="H86" s="6" t="inlineStr">
        <is>
          <t>No</t>
        </is>
      </c>
      <c r="I86" s="10" t="n"/>
      <c r="J86" s="6" t="n">
        <v>1</v>
      </c>
    </row>
    <row r="87">
      <c r="A87" s="6" t="inlineStr">
        <is>
          <t>8.4</t>
        </is>
      </c>
      <c r="B87" s="7" t="inlineStr">
        <is>
          <t>Carga horaria cronológica en actividades de investigación</t>
        </is>
      </c>
      <c r="C87" s="8" t="inlineStr">
        <is>
          <t>Comisión Supra</t>
        </is>
      </c>
      <c r="D87" s="8" t="inlineStr">
        <is>
          <t>Comisión Supra</t>
        </is>
      </c>
      <c r="E87" s="6" t="inlineStr">
        <is>
          <t>Pendiente</t>
        </is>
      </c>
      <c r="F87" s="9" t="n"/>
      <c r="G87" s="6" t="n"/>
      <c r="H87" s="6" t="inlineStr">
        <is>
          <t>No</t>
        </is>
      </c>
      <c r="I87" s="10" t="n"/>
      <c r="J87" s="6" t="n">
        <v>1</v>
      </c>
    </row>
    <row r="88">
      <c r="A88" s="6" t="inlineStr">
        <is>
          <t>8.5</t>
        </is>
      </c>
      <c r="B88" s="7" t="inlineStr">
        <is>
          <t>Sistema de créditos</t>
        </is>
      </c>
      <c r="C88" s="8" t="inlineStr">
        <is>
          <t>Comisión Supra</t>
        </is>
      </c>
      <c r="D88" s="8" t="inlineStr">
        <is>
          <t>Comisión Supra</t>
        </is>
      </c>
      <c r="E88" s="6" t="inlineStr">
        <is>
          <t>Pendiente</t>
        </is>
      </c>
      <c r="F88" s="9" t="n"/>
      <c r="G88" s="6" t="n"/>
      <c r="H88" s="6" t="inlineStr">
        <is>
          <t>No</t>
        </is>
      </c>
      <c r="I88" s="10" t="n"/>
      <c r="J88" s="6" t="n">
        <v>1</v>
      </c>
    </row>
    <row r="89">
      <c r="A89" s="6" t="inlineStr">
        <is>
          <t>8.6</t>
        </is>
      </c>
      <c r="B89" s="7" t="inlineStr">
        <is>
          <t>Número de estudiantes por asignatura</t>
        </is>
      </c>
      <c r="C89" s="8" t="inlineStr">
        <is>
          <t>Comisión Supra</t>
        </is>
      </c>
      <c r="D89" s="8" t="inlineStr">
        <is>
          <t>Comisión Supra</t>
        </is>
      </c>
      <c r="E89" s="6" t="inlineStr">
        <is>
          <t>Pendiente</t>
        </is>
      </c>
      <c r="F89" s="9" t="n"/>
      <c r="G89" s="6" t="n"/>
      <c r="H89" s="6" t="inlineStr">
        <is>
          <t>No</t>
        </is>
      </c>
      <c r="I89" s="10" t="n"/>
      <c r="J89" s="6" t="n">
        <v>1</v>
      </c>
    </row>
    <row r="90">
      <c r="A90" s="3" t="inlineStr">
        <is>
          <t>9.</t>
        </is>
      </c>
      <c r="B90" s="4" t="inlineStr">
        <is>
          <t>Material Bibliográfico</t>
        </is>
      </c>
      <c r="C90" s="4" t="inlineStr">
        <is>
          <t>Demetrio Ancalle Choque</t>
        </is>
      </c>
      <c r="D90" s="4" t="inlineStr">
        <is>
          <t>Wendy Callizaya Pocoaca</t>
        </is>
      </c>
      <c r="E90" s="3">
        <f>IF(SUMPRODUCT(($J$91:$J$94=1)*($E$91:$E$94="Entregado"))=SUMPRODUCT(($J$91:$J$94=1)*1),"Completo",IF(SUMPRODUCT(($J$91:$J$94=1)*($E$91:$E$94="Pendiente"))=SUMPRODUCT(($J$91:$J$94=1)*1),"Pendiente","En proceso"))</f>
        <v/>
      </c>
      <c r="F90" s="3">
        <f>SUMPRODUCT(($J$91:$J$94=1)*($E$91:$E$94="Entregado"))&amp;" de "&amp;SUMPRODUCT(($J$91:$J$94=1)*1)</f>
        <v/>
      </c>
      <c r="G90" s="3" t="inlineStr">
        <is>
          <t>—</t>
        </is>
      </c>
      <c r="H90" s="3" t="inlineStr">
        <is>
          <t>—</t>
        </is>
      </c>
      <c r="I90" s="5" t="inlineStr"/>
      <c r="J90" s="3" t="n">
        <v>0</v>
      </c>
    </row>
    <row r="91">
      <c r="A91" s="6" t="inlineStr">
        <is>
          <t>9.1</t>
        </is>
      </c>
      <c r="B91" s="7" t="inlineStr">
        <is>
          <t>Textos físicos y digitales (suficiencia cuantitativa y cualitativa)</t>
        </is>
      </c>
      <c r="C91" s="8" t="inlineStr">
        <is>
          <t>Demetrio Ancalle Choque</t>
        </is>
      </c>
      <c r="D91" s="8" t="inlineStr">
        <is>
          <t>Wendy Callizaya Pocoaca</t>
        </is>
      </c>
      <c r="E91" s="6" t="inlineStr">
        <is>
          <t>Pendiente</t>
        </is>
      </c>
      <c r="F91" s="9" t="n"/>
      <c r="G91" s="6" t="n"/>
      <c r="H91" s="6" t="inlineStr">
        <is>
          <t>No</t>
        </is>
      </c>
      <c r="I91" s="10" t="n"/>
      <c r="J91" s="6" t="n">
        <v>1</v>
      </c>
    </row>
    <row r="92">
      <c r="A92" s="6" t="inlineStr">
        <is>
          <t>9.2</t>
        </is>
      </c>
      <c r="B92" s="7" t="inlineStr">
        <is>
          <t>Suscripción a revistas de reconocido prestigio especializado</t>
        </is>
      </c>
      <c r="C92" s="8" t="inlineStr">
        <is>
          <t>Demetrio Ancalle Choque</t>
        </is>
      </c>
      <c r="D92" s="8" t="inlineStr">
        <is>
          <t>Wendy Callizaya Pocoaca</t>
        </is>
      </c>
      <c r="E92" s="6" t="inlineStr">
        <is>
          <t>Pendiente</t>
        </is>
      </c>
      <c r="F92" s="9" t="n"/>
      <c r="G92" s="6" t="n"/>
      <c r="H92" s="6" t="inlineStr">
        <is>
          <t>No</t>
        </is>
      </c>
      <c r="I92" s="10" t="n"/>
      <c r="J92" s="6" t="n">
        <v>1</v>
      </c>
    </row>
    <row r="93">
      <c r="A93" s="6" t="inlineStr">
        <is>
          <t>9.3</t>
        </is>
      </c>
      <c r="B93" s="7" t="inlineStr">
        <is>
          <t>Conexión a sistemas de información nacional o internacional</t>
        </is>
      </c>
      <c r="C93" s="8" t="inlineStr">
        <is>
          <t>Maria del Carmen Pinell Varcarcel</t>
        </is>
      </c>
      <c r="D93" s="8" t="inlineStr">
        <is>
          <t>Alex Jesus Huanca Uscamayta</t>
        </is>
      </c>
      <c r="E93" s="6" t="inlineStr">
        <is>
          <t>Pendiente</t>
        </is>
      </c>
      <c r="F93" s="9" t="n"/>
      <c r="G93" s="6" t="n"/>
      <c r="H93" s="6" t="inlineStr">
        <is>
          <t>No</t>
        </is>
      </c>
      <c r="I93" s="10" t="n"/>
      <c r="J93" s="6" t="n">
        <v>1</v>
      </c>
    </row>
    <row r="94">
      <c r="A94" s="6" t="inlineStr">
        <is>
          <t>9.4</t>
        </is>
      </c>
      <c r="B94" s="7" t="inlineStr">
        <is>
          <t>Internet, sistema de red o wifi</t>
        </is>
      </c>
      <c r="C94" s="8" t="inlineStr">
        <is>
          <t>Maria del Carmen Pinell Varcarcel</t>
        </is>
      </c>
      <c r="D94" s="8" t="inlineStr">
        <is>
          <t>Alex Jesus Huanca Uscamayta</t>
        </is>
      </c>
      <c r="E94" s="6" t="inlineStr">
        <is>
          <t>Pendiente</t>
        </is>
      </c>
      <c r="F94" s="9" t="n"/>
      <c r="G94" s="6" t="n"/>
      <c r="H94" s="6" t="inlineStr">
        <is>
          <t>No</t>
        </is>
      </c>
      <c r="I94" s="10" t="n"/>
      <c r="J94" s="6" t="n">
        <v>1</v>
      </c>
    </row>
    <row r="95">
      <c r="A95" s="3" t="inlineStr">
        <is>
          <t>10.</t>
        </is>
      </c>
      <c r="B95" s="4" t="inlineStr">
        <is>
          <t>Recursos educativos</t>
        </is>
      </c>
      <c r="C95" s="4" t="inlineStr">
        <is>
          <t>Miguel Cotaña Mier</t>
        </is>
      </c>
      <c r="D95" s="4" t="inlineStr">
        <is>
          <t>Camila Lampa Choque</t>
        </is>
      </c>
      <c r="E95" s="3">
        <f>IF(SUMPRODUCT(($J$96:$J$107=1)*($E$96:$E$107="Entregado"))=SUMPRODUCT(($J$96:$J$107=1)*1),"Completo",IF(SUMPRODUCT(($J$96:$J$107=1)*($E$96:$E$107="Pendiente"))=SUMPRODUCT(($J$96:$J$107=1)*1),"Pendiente","En proceso"))</f>
        <v/>
      </c>
      <c r="F95" s="3">
        <f>SUMPRODUCT(($J$96:$J$107=1)*($E$96:$E$107="Entregado"))&amp;" de "&amp;SUMPRODUCT(($J$96:$J$107=1)*1)</f>
        <v/>
      </c>
      <c r="G95" s="3" t="inlineStr">
        <is>
          <t>—</t>
        </is>
      </c>
      <c r="H95" s="3" t="inlineStr">
        <is>
          <t>—</t>
        </is>
      </c>
      <c r="I95" s="5" t="inlineStr"/>
      <c r="J95" s="3" t="n">
        <v>0</v>
      </c>
    </row>
    <row r="96">
      <c r="A96" s="6" t="inlineStr">
        <is>
          <t>10.1</t>
        </is>
      </c>
      <c r="B96" s="7" t="inlineStr">
        <is>
          <t>Equipos multimedia</t>
        </is>
      </c>
      <c r="C96" s="8" t="inlineStr">
        <is>
          <t>Miguel Cotaña Mier</t>
        </is>
      </c>
      <c r="D96" s="8" t="inlineStr">
        <is>
          <t>Camila Lampa Choque</t>
        </is>
      </c>
      <c r="E96" s="6" t="inlineStr">
        <is>
          <t>Pendiente</t>
        </is>
      </c>
      <c r="F96" s="9" t="n"/>
      <c r="G96" s="6" t="n"/>
      <c r="H96" s="6" t="inlineStr">
        <is>
          <t>No</t>
        </is>
      </c>
      <c r="I96" s="10" t="n"/>
      <c r="J96" s="6" t="n">
        <v>1</v>
      </c>
    </row>
    <row r="97">
      <c r="A97" s="6" t="inlineStr">
        <is>
          <t>10.2</t>
        </is>
      </c>
      <c r="B97" s="7" t="inlineStr">
        <is>
          <t>Computadora en red</t>
        </is>
      </c>
      <c r="C97" s="8" t="inlineStr">
        <is>
          <t>Miguel Cotaña Mier</t>
        </is>
      </c>
      <c r="D97" s="8" t="inlineStr">
        <is>
          <t>Camila Lampa Choque</t>
        </is>
      </c>
      <c r="E97" s="6" t="inlineStr">
        <is>
          <t>Pendiente</t>
        </is>
      </c>
      <c r="F97" s="9" t="n"/>
      <c r="G97" s="6" t="n"/>
      <c r="H97" s="6" t="inlineStr">
        <is>
          <t>No</t>
        </is>
      </c>
      <c r="I97" s="10" t="n"/>
      <c r="J97" s="6" t="n">
        <v>1</v>
      </c>
    </row>
    <row r="98">
      <c r="A98" s="6" t="inlineStr">
        <is>
          <t>10.3</t>
        </is>
      </c>
      <c r="B98" s="7" t="inlineStr">
        <is>
          <t>Software</t>
        </is>
      </c>
      <c r="C98" s="8" t="inlineStr">
        <is>
          <t>Miguel Cotaña Mier</t>
        </is>
      </c>
      <c r="D98" s="8" t="inlineStr">
        <is>
          <t>Camila Lampa Choque</t>
        </is>
      </c>
      <c r="E98" s="6" t="inlineStr">
        <is>
          <t>Pendiente</t>
        </is>
      </c>
      <c r="F98" s="9" t="n"/>
      <c r="G98" s="6" t="n"/>
      <c r="H98" s="6" t="inlineStr">
        <is>
          <t>No</t>
        </is>
      </c>
      <c r="I98" s="10" t="n"/>
      <c r="J98" s="6" t="n">
        <v>1</v>
      </c>
    </row>
    <row r="99">
      <c r="A99" s="6" t="inlineStr">
        <is>
          <t>10.4</t>
        </is>
      </c>
      <c r="B99" s="7" t="inlineStr">
        <is>
          <t>Laboratorios</t>
        </is>
      </c>
      <c r="C99" s="8" t="inlineStr">
        <is>
          <t>Miguel Cotaña Mier</t>
        </is>
      </c>
      <c r="D99" s="8" t="inlineStr">
        <is>
          <t>Camila Lampa Choque</t>
        </is>
      </c>
      <c r="E99" s="6" t="inlineStr">
        <is>
          <t>Pendiente</t>
        </is>
      </c>
      <c r="F99" s="9" t="n"/>
      <c r="G99" s="6" t="n"/>
      <c r="H99" s="6" t="inlineStr">
        <is>
          <t>No</t>
        </is>
      </c>
      <c r="I99" s="10" t="n"/>
      <c r="J99" s="6" t="n">
        <v>1</v>
      </c>
    </row>
    <row r="100">
      <c r="A100" s="6" t="inlineStr">
        <is>
          <t>10.5</t>
        </is>
      </c>
      <c r="B100" s="7" t="inlineStr">
        <is>
          <t>Material audiovisual</t>
        </is>
      </c>
      <c r="C100" s="8" t="inlineStr">
        <is>
          <t>Freddy Huanca Mamani</t>
        </is>
      </c>
      <c r="D100" s="8" t="inlineStr">
        <is>
          <t>Maria Joaquina Salinas Terceros</t>
        </is>
      </c>
      <c r="E100" s="6" t="inlineStr">
        <is>
          <t>Pendiente</t>
        </is>
      </c>
      <c r="F100" s="9" t="n"/>
      <c r="G100" s="6" t="n"/>
      <c r="H100" s="6" t="inlineStr">
        <is>
          <t>No</t>
        </is>
      </c>
      <c r="I100" s="10" t="n"/>
      <c r="J100" s="6" t="n">
        <v>1</v>
      </c>
    </row>
    <row r="101">
      <c r="A101" s="6" t="inlineStr">
        <is>
          <t>10.6</t>
        </is>
      </c>
      <c r="B101" s="7" t="inlineStr">
        <is>
          <t>Medios didácticos informáticos</t>
        </is>
      </c>
      <c r="C101" s="8" t="inlineStr">
        <is>
          <t>Freddy Huanca Mamani</t>
        </is>
      </c>
      <c r="D101" s="8" t="inlineStr">
        <is>
          <t>Maria Joaquina Salinas Terceros</t>
        </is>
      </c>
      <c r="E101" s="6" t="inlineStr">
        <is>
          <t>Pendiente</t>
        </is>
      </c>
      <c r="F101" s="9" t="n"/>
      <c r="G101" s="6" t="n"/>
      <c r="H101" s="6" t="inlineStr">
        <is>
          <t>No</t>
        </is>
      </c>
      <c r="I101" s="10" t="n"/>
      <c r="J101" s="6" t="n">
        <v>1</v>
      </c>
    </row>
    <row r="102">
      <c r="A102" s="6" t="inlineStr">
        <is>
          <t>10.7</t>
        </is>
      </c>
      <c r="B102" s="7" t="inlineStr">
        <is>
          <t>Soportes físicos</t>
        </is>
      </c>
      <c r="C102" s="8" t="inlineStr">
        <is>
          <t>Freddy Huanca Mamani</t>
        </is>
      </c>
      <c r="D102" s="8" t="inlineStr">
        <is>
          <t>Maria Joaquina Salinas Terceros</t>
        </is>
      </c>
      <c r="E102" s="6" t="inlineStr">
        <is>
          <t>Pendiente</t>
        </is>
      </c>
      <c r="F102" s="9" t="n"/>
      <c r="G102" s="6" t="n"/>
      <c r="H102" s="6" t="inlineStr">
        <is>
          <t>No</t>
        </is>
      </c>
      <c r="I102" s="10" t="n"/>
      <c r="J102" s="6" t="n">
        <v>1</v>
      </c>
    </row>
    <row r="103">
      <c r="A103" s="6" t="inlineStr">
        <is>
          <t>10.8</t>
        </is>
      </c>
      <c r="B103" s="7" t="inlineStr">
        <is>
          <t>Programas informáticos educativos</t>
        </is>
      </c>
      <c r="C103" s="8" t="inlineStr">
        <is>
          <t>Freddy Huanca Mamani</t>
        </is>
      </c>
      <c r="D103" s="8" t="inlineStr">
        <is>
          <t>Maria Joaquina Salinas Terceros</t>
        </is>
      </c>
      <c r="E103" s="6" t="inlineStr">
        <is>
          <t>Pendiente</t>
        </is>
      </c>
      <c r="F103" s="9" t="n"/>
      <c r="G103" s="6" t="n"/>
      <c r="H103" s="6" t="inlineStr">
        <is>
          <t>No</t>
        </is>
      </c>
      <c r="I103" s="10" t="n"/>
      <c r="J103" s="6" t="n">
        <v>1</v>
      </c>
    </row>
    <row r="104">
      <c r="A104" s="6" t="inlineStr">
        <is>
          <t>10.9</t>
        </is>
      </c>
      <c r="B104" s="7" t="inlineStr">
        <is>
          <t>Medios interactivos</t>
        </is>
      </c>
      <c r="C104" s="8" t="inlineStr">
        <is>
          <t>Freddy Huanca Mamani</t>
        </is>
      </c>
      <c r="D104" s="8" t="inlineStr">
        <is>
          <t>Maria Joaquina Salinas Terceros</t>
        </is>
      </c>
      <c r="E104" s="6" t="inlineStr">
        <is>
          <t>Pendiente</t>
        </is>
      </c>
      <c r="F104" s="9" t="n"/>
      <c r="G104" s="6" t="n"/>
      <c r="H104" s="6" t="inlineStr">
        <is>
          <t>No</t>
        </is>
      </c>
      <c r="I104" s="10" t="n"/>
      <c r="J104" s="6" t="n">
        <v>1</v>
      </c>
    </row>
    <row r="105">
      <c r="A105" s="6" t="inlineStr">
        <is>
          <t>10.10</t>
        </is>
      </c>
      <c r="B105" s="7" t="inlineStr">
        <is>
          <t>Multimedia e internet</t>
        </is>
      </c>
      <c r="C105" s="8" t="inlineStr">
        <is>
          <t>Magna Rosmery Layme Llanos</t>
        </is>
      </c>
      <c r="D105" s="8" t="inlineStr">
        <is>
          <t>Mayumi Evelin Quispe Mamani</t>
        </is>
      </c>
      <c r="E105" s="6" t="inlineStr">
        <is>
          <t>Pendiente</t>
        </is>
      </c>
      <c r="F105" s="9" t="n"/>
      <c r="G105" s="6" t="n"/>
      <c r="H105" s="6" t="inlineStr">
        <is>
          <t>No</t>
        </is>
      </c>
      <c r="I105" s="10" t="n"/>
      <c r="J105" s="6" t="n">
        <v>1</v>
      </c>
    </row>
    <row r="106">
      <c r="A106" s="6" t="inlineStr">
        <is>
          <t>10.11</t>
        </is>
      </c>
      <c r="B106" s="7" t="inlineStr">
        <is>
          <t>Servicios telemáticos</t>
        </is>
      </c>
      <c r="C106" s="8" t="inlineStr">
        <is>
          <t>Magna Rosmery Layme Llanos</t>
        </is>
      </c>
      <c r="D106" s="8" t="inlineStr">
        <is>
          <t>Mayumi Evelin Quispe Mamani</t>
        </is>
      </c>
      <c r="E106" s="6" t="inlineStr">
        <is>
          <t>Pendiente</t>
        </is>
      </c>
      <c r="F106" s="9" t="n"/>
      <c r="G106" s="6" t="n"/>
      <c r="H106" s="6" t="inlineStr">
        <is>
          <t>No</t>
        </is>
      </c>
      <c r="I106" s="10" t="n"/>
      <c r="J106" s="6" t="n">
        <v>1</v>
      </c>
    </row>
    <row r="107">
      <c r="A107" s="6" t="inlineStr">
        <is>
          <t>10.12</t>
        </is>
      </c>
      <c r="B107" s="7" t="inlineStr">
        <is>
          <t>Entornos virtuales de enseñanza y aprendizaje</t>
        </is>
      </c>
      <c r="C107" s="8" t="inlineStr">
        <is>
          <t>Magna Rosmery Layme Llanos</t>
        </is>
      </c>
      <c r="D107" s="8" t="inlineStr">
        <is>
          <t>Mayumi Evelin Quispe Mamani</t>
        </is>
      </c>
      <c r="E107" s="6" t="inlineStr">
        <is>
          <t>Pendiente</t>
        </is>
      </c>
      <c r="F107" s="9" t="n"/>
      <c r="G107" s="6" t="n"/>
      <c r="H107" s="6" t="inlineStr">
        <is>
          <t>No</t>
        </is>
      </c>
      <c r="I107" s="10" t="n"/>
      <c r="J107" s="6" t="n">
        <v>1</v>
      </c>
    </row>
    <row r="108">
      <c r="A108" s="3" t="inlineStr">
        <is>
          <t>11.</t>
        </is>
      </c>
      <c r="B108" s="4" t="inlineStr">
        <is>
          <t>Implementación del proyecto curricular</t>
        </is>
      </c>
      <c r="C108" s="4" t="inlineStr">
        <is>
          <t>Daniel Laura Choque</t>
        </is>
      </c>
      <c r="D108" s="4" t="inlineStr">
        <is>
          <t>Nazareth Samia Espejo Ticonipa</t>
        </is>
      </c>
      <c r="E108" s="3">
        <f>IF(SUMPRODUCT(($J$109:$J$111=1)*($E$109:$E$111="Entregado"))=SUMPRODUCT(($J$109:$J$111=1)*1),"Completo",IF(SUMPRODUCT(($J$109:$J$111=1)*($E$109:$E$111="Pendiente"))=SUMPRODUCT(($J$109:$J$111=1)*1),"Pendiente","En proceso"))</f>
        <v/>
      </c>
      <c r="F108" s="3">
        <f>SUMPRODUCT(($J$109:$J$111=1)*($E$109:$E$111="Entregado"))&amp;" de "&amp;SUMPRODUCT(($J$109:$J$111=1)*1)</f>
        <v/>
      </c>
      <c r="G108" s="3" t="inlineStr">
        <is>
          <t>—</t>
        </is>
      </c>
      <c r="H108" s="3" t="inlineStr">
        <is>
          <t>—</t>
        </is>
      </c>
      <c r="I108" s="5" t="inlineStr"/>
      <c r="J108" s="3" t="n">
        <v>0</v>
      </c>
    </row>
    <row r="109">
      <c r="A109" s="6" t="inlineStr">
        <is>
          <t>11.1</t>
        </is>
      </c>
      <c r="B109" s="7" t="inlineStr">
        <is>
          <t>Infraestructura, equipamiento y sistemas de soporte informático</t>
        </is>
      </c>
      <c r="C109" s="8" t="inlineStr">
        <is>
          <t>Daniel Laura Choque</t>
        </is>
      </c>
      <c r="D109" s="8" t="inlineStr">
        <is>
          <t>Nazareth Samia Espejo Ticonipa</t>
        </is>
      </c>
      <c r="E109" s="6" t="inlineStr">
        <is>
          <t>Pendiente</t>
        </is>
      </c>
      <c r="F109" s="9" t="n"/>
      <c r="G109" s="6" t="n"/>
      <c r="H109" s="6" t="inlineStr">
        <is>
          <t>No</t>
        </is>
      </c>
      <c r="I109" s="10" t="n"/>
      <c r="J109" s="6" t="n">
        <v>1</v>
      </c>
    </row>
    <row r="110">
      <c r="A110" s="6" t="inlineStr">
        <is>
          <t>11.2</t>
        </is>
      </c>
      <c r="B110" s="7" t="inlineStr">
        <is>
          <t>Recursos humanos</t>
        </is>
      </c>
      <c r="C110" s="8" t="inlineStr">
        <is>
          <t>Guido Rogelio Yujra Segales</t>
        </is>
      </c>
      <c r="D110" s="8" t="inlineStr">
        <is>
          <t>Maya Jazmin Manzaneda Flores</t>
        </is>
      </c>
      <c r="E110" s="6" t="inlineStr">
        <is>
          <t xml:space="preserve">Entregado</t>
        </is>
      </c>
      <c r="F110" s="9" t="n">
        <v>46307</v>
      </c>
      <c r="G110" s="6" t="inlineStr">
        <is>
          <t xml:space="preserve">Word</t>
        </is>
      </c>
      <c r="H110" s="6" t="inlineStr">
        <is>
          <t xml:space="preserve">Sí</t>
        </is>
      </c>
      <c r="I110" s="10" t="inlineStr">
        <is>
          <t xml:space="preserve">Documento 04 Plan de Estudios 2026</t>
        </is>
      </c>
      <c r="J110" s="6" t="n">
        <v>1</v>
      </c>
    </row>
    <row r="111">
      <c r="A111" s="6" t="inlineStr">
        <is>
          <t>11.3</t>
        </is>
      </c>
      <c r="B111" s="7" t="inlineStr">
        <is>
          <t>Política presupuestaria y financiera</t>
        </is>
      </c>
      <c r="C111" s="8" t="inlineStr">
        <is>
          <t>Guido Rogelio Yujra Segales</t>
        </is>
      </c>
      <c r="D111" s="8" t="inlineStr">
        <is>
          <t>Maya Jazmin Manzaneda Flores</t>
        </is>
      </c>
      <c r="E111" s="6" t="inlineStr">
        <is>
          <t>Pendiente</t>
        </is>
      </c>
      <c r="F111" s="9" t="n"/>
      <c r="G111" s="6" t="n"/>
      <c r="H111" s="6" t="inlineStr">
        <is>
          <t>No</t>
        </is>
      </c>
      <c r="I111" s="10" t="n"/>
      <c r="J111" s="6" t="n">
        <v>1</v>
      </c>
    </row>
    <row r="112">
      <c r="A112" s="3" t="inlineStr">
        <is>
          <t>12.</t>
        </is>
      </c>
      <c r="B112" s="4" t="inlineStr">
        <is>
          <t>Evaluación Curricular</t>
        </is>
      </c>
      <c r="C112" s="4" t="inlineStr">
        <is>
          <t>Luis Enrique Hinojosa Rodríguez</t>
        </is>
      </c>
      <c r="D112" s="4" t="inlineStr">
        <is>
          <t>Camila Nicol Zuñiga Estrada</t>
        </is>
      </c>
      <c r="E112" s="3">
        <f>IF(SUMPRODUCT(($J$113:$J$114=1)*($E$113:$E$114="Entregado"))=SUMPRODUCT(($J$113:$J$114=1)*1),"Completo",IF(SUMPRODUCT(($J$113:$J$114=1)*($E$113:$E$114="Pendiente"))=SUMPRODUCT(($J$113:$J$114=1)*1),"Pendiente","En proceso"))</f>
        <v/>
      </c>
      <c r="F112" s="3">
        <f>SUMPRODUCT(($J$113:$J$114=1)*($E$113:$E$114="Entregado"))&amp;" de "&amp;SUMPRODUCT(($J$113:$J$114=1)*1)</f>
        <v/>
      </c>
      <c r="G112" s="3" t="inlineStr">
        <is>
          <t>—</t>
        </is>
      </c>
      <c r="H112" s="3" t="inlineStr">
        <is>
          <t>—</t>
        </is>
      </c>
      <c r="I112" s="5" t="inlineStr"/>
      <c r="J112" s="3" t="n">
        <v>0</v>
      </c>
    </row>
    <row r="113">
      <c r="A113" s="6" t="inlineStr">
        <is>
          <t>12.1</t>
        </is>
      </c>
      <c r="B113" s="7" t="inlineStr">
        <is>
          <t>Lineamientos para la evaluación curricular</t>
        </is>
      </c>
      <c r="C113" s="8" t="inlineStr">
        <is>
          <t>Luis Enrique Hinojosa Rodríguez</t>
        </is>
      </c>
      <c r="D113" s="8" t="inlineStr">
        <is>
          <t>Camila Nicol Zuñiga Estrada</t>
        </is>
      </c>
      <c r="E113" s="6" t="inlineStr">
        <is>
          <t xml:space="preserve">Entregado</t>
        </is>
      </c>
      <c r="F113" s="9" t="n">
        <v>46307</v>
      </c>
      <c r="G113" s="6" t="inlineStr">
        <is>
          <t xml:space="preserve">Word</t>
        </is>
      </c>
      <c r="H113" s="6" t="inlineStr">
        <is>
          <t xml:space="preserve">Sí</t>
        </is>
      </c>
      <c r="I113" s="10" t="inlineStr">
        <is>
          <t xml:space="preserve">Documento 04 Plan de Estudios 2026</t>
        </is>
      </c>
      <c r="J113" s="6" t="n">
        <v>1</v>
      </c>
    </row>
    <row r="114">
      <c r="A114" s="6" t="inlineStr">
        <is>
          <t>12.2</t>
        </is>
      </c>
      <c r="B114" s="7" t="inlineStr">
        <is>
          <t>Estrategias de seguimiento a titulados</t>
        </is>
      </c>
      <c r="C114" s="8" t="inlineStr">
        <is>
          <t>Humberto Quintanilla Muñoz</t>
        </is>
      </c>
      <c r="D114" s="8" t="inlineStr">
        <is>
          <t>Lizeth Matilde Carvajal Callisaya</t>
        </is>
      </c>
      <c r="E114" s="6" t="inlineStr">
        <is>
          <t>Pendiente</t>
        </is>
      </c>
      <c r="F114" s="9" t="n"/>
      <c r="G114" s="6" t="n"/>
      <c r="H114" s="6" t="inlineStr">
        <is>
          <t>No</t>
        </is>
      </c>
      <c r="I114" s="10" t="n"/>
      <c r="J114" s="6" t="n">
        <v>1</v>
      </c>
    </row>
    <row r="115">
      <c r="A115" s="3" t="inlineStr">
        <is>
          <t>13.</t>
        </is>
      </c>
      <c r="B115" s="4" t="inlineStr">
        <is>
          <t>Reglamentación</t>
        </is>
      </c>
      <c r="C115" s="4" t="inlineStr">
        <is>
          <t>Esperanza Mejillones Rodriguez</t>
        </is>
      </c>
      <c r="D115" s="4" t="inlineStr">
        <is>
          <t>Camila Andrea Quispe Mollocuaquira</t>
        </is>
      </c>
      <c r="E115" s="3">
        <f>IF(SUMPRODUCT(($J$116:$J$117=1)*($E$116:$E$117="Entregado"))=SUMPRODUCT(($J$116:$J$117=1)*1),"Completo",IF(SUMPRODUCT(($J$116:$J$117=1)*($E$116:$E$117="Pendiente"))=SUMPRODUCT(($J$116:$J$117=1)*1),"Pendiente","En proceso"))</f>
        <v/>
      </c>
      <c r="F115" s="3">
        <f>SUMPRODUCT(($J$116:$J$117=1)*($E$116:$E$117="Entregado"))&amp;" de "&amp;SUMPRODUCT(($J$116:$J$117=1)*1)</f>
        <v/>
      </c>
      <c r="G115" s="3" t="inlineStr">
        <is>
          <t>—</t>
        </is>
      </c>
      <c r="H115" s="3" t="inlineStr">
        <is>
          <t>—</t>
        </is>
      </c>
      <c r="I115" s="5" t="inlineStr"/>
      <c r="J115" s="3" t="n">
        <v>0</v>
      </c>
    </row>
    <row r="116">
      <c r="A116" s="6" t="inlineStr">
        <is>
          <t>13.1</t>
        </is>
      </c>
      <c r="B116" s="7" t="inlineStr">
        <is>
          <t>Reglamentos académicos y administrativos</t>
        </is>
      </c>
      <c r="C116" s="8" t="inlineStr">
        <is>
          <t>Esperanza Mejillones Rodriguez</t>
        </is>
      </c>
      <c r="D116" s="8" t="inlineStr">
        <is>
          <t>Camila Andrea Quispe Mollocuaquira</t>
        </is>
      </c>
      <c r="E116" s="6" t="inlineStr">
        <is>
          <t>Pendiente</t>
        </is>
      </c>
      <c r="F116" s="9" t="n"/>
      <c r="G116" s="6" t="n"/>
      <c r="H116" s="6" t="inlineStr">
        <is>
          <t>No</t>
        </is>
      </c>
      <c r="I116" s="10" t="n"/>
      <c r="J116" s="6" t="n">
        <v>1</v>
      </c>
    </row>
    <row r="117">
      <c r="A117" s="6" t="inlineStr">
        <is>
          <t>13.2</t>
        </is>
      </c>
      <c r="B117" s="7" t="inlineStr">
        <is>
          <t>Reglamentación del centro de investigación</t>
        </is>
      </c>
      <c r="C117" s="8" t="inlineStr">
        <is>
          <t>Ausberto Choque</t>
        </is>
      </c>
      <c r="D117" s="8" t="inlineStr">
        <is>
          <t>Herlan Nelson Rodriguez Mendoza</t>
        </is>
      </c>
      <c r="E117" s="6" t="inlineStr">
        <is>
          <t>Pendiente</t>
        </is>
      </c>
      <c r="F117" s="9" t="n"/>
      <c r="G117" s="6" t="n"/>
      <c r="H117" s="6" t="inlineStr">
        <is>
          <t>No</t>
        </is>
      </c>
      <c r="I117" s="10" t="n"/>
      <c r="J117" s="6" t="n">
        <v>1</v>
      </c>
    </row>
    <row r="118">
      <c r="A118" s="3" t="inlineStr">
        <is>
          <t>14.</t>
        </is>
      </c>
      <c r="B118" s="4" t="inlineStr">
        <is>
          <t>Infraestructura y equipamiento</t>
        </is>
      </c>
      <c r="C118" s="4" t="inlineStr">
        <is>
          <t>Juvenal Espejo</t>
        </is>
      </c>
      <c r="D118" s="4" t="inlineStr">
        <is>
          <t>Ruth Sarai Arriague Gonzales</t>
        </is>
      </c>
      <c r="E118" s="3">
        <f>IF(SUMPRODUCT(($J$119:$J$127=1)*($E$119:$E$127="Entregado"))=SUMPRODUCT(($J$119:$J$127=1)*1),"Completo",IF(SUMPRODUCT(($J$119:$J$127=1)*($E$119:$E$127="Pendiente"))=SUMPRODUCT(($J$119:$J$127=1)*1),"Pendiente","En proceso"))</f>
        <v/>
      </c>
      <c r="F118" s="3">
        <f>SUMPRODUCT(($J$119:$J$127=1)*($E$119:$E$127="Entregado"))&amp;" de "&amp;SUMPRODUCT(($J$119:$J$127=1)*1)</f>
        <v/>
      </c>
      <c r="G118" s="3" t="inlineStr">
        <is>
          <t>—</t>
        </is>
      </c>
      <c r="H118" s="3" t="inlineStr">
        <is>
          <t>—</t>
        </is>
      </c>
      <c r="I118" s="5" t="inlineStr"/>
      <c r="J118" s="3" t="n">
        <v>0</v>
      </c>
    </row>
    <row r="119">
      <c r="A119" s="6" t="inlineStr">
        <is>
          <t>14.1</t>
        </is>
      </c>
      <c r="B119" s="7" t="inlineStr">
        <is>
          <t>Aulas (físicas o virtuales)</t>
        </is>
      </c>
      <c r="C119" s="8" t="inlineStr">
        <is>
          <t>Juvenal Espejo</t>
        </is>
      </c>
      <c r="D119" s="8" t="inlineStr">
        <is>
          <t>Ruth Sarai Arriague Gonzales</t>
        </is>
      </c>
      <c r="E119" s="6" t="inlineStr">
        <is>
          <t>Pendiente</t>
        </is>
      </c>
      <c r="F119" s="9" t="n"/>
      <c r="G119" s="6" t="n"/>
      <c r="H119" s="6" t="inlineStr">
        <is>
          <t>No</t>
        </is>
      </c>
      <c r="I119" s="10" t="n"/>
      <c r="J119" s="6" t="n">
        <v>1</v>
      </c>
    </row>
    <row r="120">
      <c r="A120" s="6" t="inlineStr">
        <is>
          <t>14.2</t>
        </is>
      </c>
      <c r="B120" s="7" t="inlineStr">
        <is>
          <t>Tecnología audiovisual</t>
        </is>
      </c>
      <c r="C120" s="8" t="inlineStr">
        <is>
          <t>Juvenal Espejo</t>
        </is>
      </c>
      <c r="D120" s="8" t="inlineStr">
        <is>
          <t>Ruth Sarai Arriague Gonzales</t>
        </is>
      </c>
      <c r="E120" s="6" t="inlineStr">
        <is>
          <t>Pendiente</t>
        </is>
      </c>
      <c r="F120" s="9" t="n"/>
      <c r="G120" s="6" t="n"/>
      <c r="H120" s="6" t="inlineStr">
        <is>
          <t>No</t>
        </is>
      </c>
      <c r="I120" s="10" t="n"/>
      <c r="J120" s="6" t="n">
        <v>1</v>
      </c>
    </row>
    <row r="121">
      <c r="A121" s="6" t="inlineStr">
        <is>
          <t>14.3</t>
        </is>
      </c>
      <c r="B121" s="7" t="inlineStr">
        <is>
          <t>Laboratorios/talleres</t>
        </is>
      </c>
      <c r="C121" s="8" t="inlineStr">
        <is>
          <t>Juvenal Espejo</t>
        </is>
      </c>
      <c r="D121" s="8" t="inlineStr">
        <is>
          <t>Ruth Sarai Arriague Gonzales</t>
        </is>
      </c>
      <c r="E121" s="6" t="inlineStr">
        <is>
          <t>Pendiente</t>
        </is>
      </c>
      <c r="F121" s="9" t="n"/>
      <c r="G121" s="6" t="n"/>
      <c r="H121" s="6" t="inlineStr">
        <is>
          <t>No</t>
        </is>
      </c>
      <c r="I121" s="10" t="n"/>
      <c r="J121" s="6" t="n">
        <v>1</v>
      </c>
    </row>
    <row r="122">
      <c r="A122" s="6" t="inlineStr">
        <is>
          <t>14.4</t>
        </is>
      </c>
      <c r="B122" s="7" t="inlineStr">
        <is>
          <t>Áreas de biblioteca, hemeroteca e información dura o digital</t>
        </is>
      </c>
      <c r="C122" s="8" t="inlineStr">
        <is>
          <t>Juvenal Espejo</t>
        </is>
      </c>
      <c r="D122" s="8" t="inlineStr">
        <is>
          <t>Ruth Sarai Arriague Gonzales</t>
        </is>
      </c>
      <c r="E122" s="6" t="inlineStr">
        <is>
          <t>Pendiente</t>
        </is>
      </c>
      <c r="F122" s="9" t="n"/>
      <c r="G122" s="6" t="n"/>
      <c r="H122" s="6" t="inlineStr">
        <is>
          <t>No</t>
        </is>
      </c>
      <c r="I122" s="10" t="n"/>
      <c r="J122" s="6" t="n">
        <v>1</v>
      </c>
    </row>
    <row r="123">
      <c r="A123" s="6" t="inlineStr">
        <is>
          <t>14.5</t>
        </is>
      </c>
      <c r="B123" s="7" t="inlineStr">
        <is>
          <t>Salas de computación y computadores estacionales y portátiles</t>
        </is>
      </c>
      <c r="C123" s="8" t="inlineStr">
        <is>
          <t>Juvenal Espejo</t>
        </is>
      </c>
      <c r="D123" s="8" t="inlineStr">
        <is>
          <t>Ruth Sarai Arriague Gonzales</t>
        </is>
      </c>
      <c r="E123" s="6" t="inlineStr">
        <is>
          <t>Pendiente</t>
        </is>
      </c>
      <c r="F123" s="9" t="n"/>
      <c r="G123" s="6" t="n"/>
      <c r="H123" s="6" t="inlineStr">
        <is>
          <t>No</t>
        </is>
      </c>
      <c r="I123" s="10" t="n"/>
      <c r="J123" s="6" t="n">
        <v>1</v>
      </c>
    </row>
    <row r="124">
      <c r="A124" s="6" t="inlineStr">
        <is>
          <t>14.6</t>
        </is>
      </c>
      <c r="B124" s="7" t="inlineStr">
        <is>
          <t>Ambientes administrativos y sala de docentes</t>
        </is>
      </c>
      <c r="C124" s="8" t="inlineStr">
        <is>
          <t>Javier Mendoza Elias</t>
        </is>
      </c>
      <c r="D124" s="8" t="inlineStr">
        <is>
          <t>Andre Alexandro Echeverria Mamani</t>
        </is>
      </c>
      <c r="E124" s="6" t="inlineStr">
        <is>
          <t>Pendiente</t>
        </is>
      </c>
      <c r="F124" s="9" t="n"/>
      <c r="G124" s="6" t="n"/>
      <c r="H124" s="6" t="inlineStr">
        <is>
          <t>No</t>
        </is>
      </c>
      <c r="I124" s="10" t="n"/>
      <c r="J124" s="6" t="n">
        <v>1</v>
      </c>
    </row>
    <row r="125">
      <c r="A125" s="6" t="inlineStr">
        <is>
          <t>14.7</t>
        </is>
      </c>
      <c r="B125" s="7" t="inlineStr">
        <is>
          <t>Áreas de interacción social, cultural y deportiva</t>
        </is>
      </c>
      <c r="C125" s="8" t="inlineStr">
        <is>
          <t>Javier Mendoza Elias</t>
        </is>
      </c>
      <c r="D125" s="8" t="inlineStr">
        <is>
          <t>Andre Alexandro Echeverria Mamani</t>
        </is>
      </c>
      <c r="E125" s="6" t="inlineStr">
        <is>
          <t>Pendiente</t>
        </is>
      </c>
      <c r="F125" s="9" t="n"/>
      <c r="G125" s="6" t="n"/>
      <c r="H125" s="6" t="inlineStr">
        <is>
          <t>No</t>
        </is>
      </c>
      <c r="I125" s="10" t="n"/>
      <c r="J125" s="6" t="n">
        <v>1</v>
      </c>
    </row>
    <row r="126">
      <c r="A126" s="6" t="inlineStr">
        <is>
          <t>14.8</t>
        </is>
      </c>
      <c r="B126" s="7" t="inlineStr">
        <is>
          <t>Infraestructura sanitaria para docentes, estudiantes y administrativos</t>
        </is>
      </c>
      <c r="C126" s="8" t="inlineStr">
        <is>
          <t>Javier Mendoza Elias</t>
        </is>
      </c>
      <c r="D126" s="8" t="inlineStr">
        <is>
          <t>Andre Alexandro Echeverria Mamani</t>
        </is>
      </c>
      <c r="E126" s="6" t="inlineStr">
        <is>
          <t>Pendiente</t>
        </is>
      </c>
      <c r="F126" s="9" t="n"/>
      <c r="G126" s="6" t="n"/>
      <c r="H126" s="6" t="inlineStr">
        <is>
          <t>No</t>
        </is>
      </c>
      <c r="I126" s="10" t="n"/>
      <c r="J126" s="6" t="n">
        <v>1</v>
      </c>
    </row>
    <row r="127">
      <c r="A127" s="6" t="inlineStr">
        <is>
          <t>14.9</t>
        </is>
      </c>
      <c r="B127" s="7" t="inlineStr">
        <is>
          <t>Software</t>
        </is>
      </c>
      <c r="C127" s="8" t="inlineStr">
        <is>
          <t>Javier Mendoza Elias</t>
        </is>
      </c>
      <c r="D127" s="8" t="inlineStr">
        <is>
          <t>Andre Alexandro Echeverria Mamani</t>
        </is>
      </c>
      <c r="E127" s="6" t="inlineStr">
        <is>
          <t>Pendiente</t>
        </is>
      </c>
      <c r="F127" s="9" t="n"/>
      <c r="G127" s="6" t="n"/>
      <c r="H127" s="6" t="inlineStr">
        <is>
          <t>No</t>
        </is>
      </c>
      <c r="I127" s="10" t="n"/>
      <c r="J127" s="6" t="n">
        <v>1</v>
      </c>
    </row>
    <row r="128">
      <c r="A128" s="3" t="inlineStr">
        <is>
          <t>15.</t>
        </is>
      </c>
      <c r="B128" s="4" t="inlineStr">
        <is>
          <t>Mobiliario, equipamiento y materiales</t>
        </is>
      </c>
      <c r="C128" s="4" t="inlineStr">
        <is>
          <t>Hernan Alvarado</t>
        </is>
      </c>
      <c r="D128" s="4" t="inlineStr">
        <is>
          <t>Angeles Iraya Mendoza Gutierrez</t>
        </is>
      </c>
      <c r="E128" s="3">
        <f>IF(SUMPRODUCT(($J$129:$J$133=1)*($E$129:$E$133="Entregado"))=SUMPRODUCT(($J$129:$J$133=1)*1),"Completo",IF(SUMPRODUCT(($J$129:$J$133=1)*($E$129:$E$133="Pendiente"))=SUMPRODUCT(($J$129:$J$133=1)*1),"Pendiente","En proceso"))</f>
        <v/>
      </c>
      <c r="F128" s="3">
        <f>SUMPRODUCT(($J$129:$J$133=1)*($E$129:$E$133="Entregado"))&amp;" de "&amp;SUMPRODUCT(($J$129:$J$133=1)*1)</f>
        <v/>
      </c>
      <c r="G128" s="3" t="inlineStr">
        <is>
          <t>—</t>
        </is>
      </c>
      <c r="H128" s="3" t="inlineStr">
        <is>
          <t>—</t>
        </is>
      </c>
      <c r="I128" s="5" t="inlineStr"/>
      <c r="J128" s="3" t="n">
        <v>0</v>
      </c>
    </row>
    <row r="129">
      <c r="A129" s="6" t="inlineStr">
        <is>
          <t>15.1</t>
        </is>
      </c>
      <c r="B129" s="7" t="inlineStr">
        <is>
          <t>Depósitos de materiales</t>
        </is>
      </c>
      <c r="C129" s="8" t="inlineStr">
        <is>
          <t>Hernan Alvarado</t>
        </is>
      </c>
      <c r="D129" s="8" t="inlineStr">
        <is>
          <t>Angeles Iraya Mendoza Gutierrez</t>
        </is>
      </c>
      <c r="E129" s="6" t="inlineStr">
        <is>
          <t>Pendiente</t>
        </is>
      </c>
      <c r="F129" s="9" t="n"/>
      <c r="G129" s="6" t="n"/>
      <c r="H129" s="6" t="inlineStr">
        <is>
          <t>No</t>
        </is>
      </c>
      <c r="I129" s="10" t="n"/>
      <c r="J129" s="6" t="n">
        <v>1</v>
      </c>
    </row>
    <row r="130">
      <c r="A130" s="6" t="inlineStr">
        <is>
          <t>15.2</t>
        </is>
      </c>
      <c r="B130" s="7" t="inlineStr">
        <is>
          <t>Depósitos de equipamiento almacenes</t>
        </is>
      </c>
      <c r="C130" s="8" t="inlineStr">
        <is>
          <t>Hernan Alvarado</t>
        </is>
      </c>
      <c r="D130" s="8" t="inlineStr">
        <is>
          <t>Angeles Iraya Mendoza Gutierrez</t>
        </is>
      </c>
      <c r="E130" s="6" t="inlineStr">
        <is>
          <t>Pendiente</t>
        </is>
      </c>
      <c r="F130" s="9" t="n"/>
      <c r="G130" s="6" t="n"/>
      <c r="H130" s="6" t="inlineStr">
        <is>
          <t>No</t>
        </is>
      </c>
      <c r="I130" s="10" t="n"/>
      <c r="J130" s="6" t="n">
        <v>1</v>
      </c>
    </row>
    <row r="131">
      <c r="A131" s="6" t="inlineStr">
        <is>
          <t>15.3</t>
        </is>
      </c>
      <c r="B131" s="7" t="inlineStr">
        <is>
          <t>Sala de espera</t>
        </is>
      </c>
      <c r="C131" s="8" t="inlineStr">
        <is>
          <t>Angel Quisbert</t>
        </is>
      </c>
      <c r="D131" s="8" t="inlineStr">
        <is>
          <t>Sergio Esteban Zambrana Fariñas</t>
        </is>
      </c>
      <c r="E131" s="6" t="inlineStr">
        <is>
          <t>Pendiente</t>
        </is>
      </c>
      <c r="F131" s="9" t="n"/>
      <c r="G131" s="6" t="n"/>
      <c r="H131" s="6" t="inlineStr">
        <is>
          <t>No</t>
        </is>
      </c>
      <c r="I131" s="10" t="n"/>
      <c r="J131" s="6" t="n">
        <v>1</v>
      </c>
    </row>
    <row r="132">
      <c r="A132" s="6" t="inlineStr">
        <is>
          <t>15.4</t>
        </is>
      </c>
      <c r="B132" s="7" t="inlineStr">
        <is>
          <t>Archivo físico</t>
        </is>
      </c>
      <c r="C132" s="8" t="inlineStr">
        <is>
          <t>Angel Quisbert</t>
        </is>
      </c>
      <c r="D132" s="8" t="inlineStr">
        <is>
          <t>Sergio Esteban Zambrana Fariñas</t>
        </is>
      </c>
      <c r="E132" s="6" t="inlineStr">
        <is>
          <t>Pendiente</t>
        </is>
      </c>
      <c r="F132" s="9" t="n"/>
      <c r="G132" s="6" t="n"/>
      <c r="H132" s="6" t="inlineStr">
        <is>
          <t>No</t>
        </is>
      </c>
      <c r="I132" s="10" t="n"/>
      <c r="J132" s="6" t="n">
        <v>1</v>
      </c>
    </row>
    <row r="133">
      <c r="A133" s="6" t="inlineStr">
        <is>
          <t>15.5</t>
        </is>
      </c>
      <c r="B133" s="7" t="inlineStr">
        <is>
          <t>Archivo digital</t>
        </is>
      </c>
      <c r="C133" s="8" t="inlineStr">
        <is>
          <t>Angel Quisbert</t>
        </is>
      </c>
      <c r="D133" s="8" t="inlineStr">
        <is>
          <t>Sergio Esteban Zambrana Fariñas</t>
        </is>
      </c>
      <c r="E133" s="6" t="inlineStr">
        <is>
          <t>Pendiente</t>
        </is>
      </c>
      <c r="F133" s="9" t="n"/>
      <c r="G133" s="6" t="n"/>
      <c r="H133" s="6" t="inlineStr">
        <is>
          <t>No</t>
        </is>
      </c>
      <c r="I133" s="10" t="n"/>
      <c r="J133" s="6" t="n">
        <v>1</v>
      </c>
    </row>
    <row r="134">
      <c r="A134" s="3" t="inlineStr">
        <is>
          <t>16.</t>
        </is>
      </c>
      <c r="B134" s="4" t="inlineStr">
        <is>
          <t>Disposiciones de ejecución</t>
        </is>
      </c>
      <c r="C134" s="4" t="inlineStr">
        <is>
          <t>Edwin Gutiérrez Zapana</t>
        </is>
      </c>
      <c r="D134" s="4" t="inlineStr">
        <is>
          <t>Adhemar Carlos Palacios Choque</t>
        </is>
      </c>
      <c r="E134" s="3">
        <f>IF(SUMPRODUCT(($J$135:$J$137=1)*($E$135:$E$137="Entregado"))=SUMPRODUCT(($J$135:$J$137=1)*1),"Completo",IF(SUMPRODUCT(($J$135:$J$137=1)*($E$135:$E$137="Pendiente"))=SUMPRODUCT(($J$135:$J$137=1)*1),"Pendiente","En proceso"))</f>
        <v/>
      </c>
      <c r="F134" s="3">
        <f>SUMPRODUCT(($J$135:$J$137=1)*($E$135:$E$137="Entregado"))&amp;" de "&amp;SUMPRODUCT(($J$135:$J$137=1)*1)</f>
        <v/>
      </c>
      <c r="G134" s="3" t="inlineStr">
        <is>
          <t>—</t>
        </is>
      </c>
      <c r="H134" s="3" t="inlineStr">
        <is>
          <t>—</t>
        </is>
      </c>
      <c r="I134" s="5" t="inlineStr"/>
      <c r="J134" s="3" t="n">
        <v>0</v>
      </c>
    </row>
    <row r="135">
      <c r="A135" s="6" t="inlineStr">
        <is>
          <t>16.1</t>
        </is>
      </c>
      <c r="B135" s="7" t="inlineStr">
        <is>
          <t>Cuadro de convalidación y homologación</t>
        </is>
      </c>
      <c r="C135" s="8" t="inlineStr">
        <is>
          <t>Edwin Gutiérrez Zapana</t>
        </is>
      </c>
      <c r="D135" s="8" t="inlineStr">
        <is>
          <t>Adhemar Carlos Palacios Choque</t>
        </is>
      </c>
      <c r="E135" s="6" t="inlineStr">
        <is>
          <t xml:space="preserve">Entregado</t>
        </is>
      </c>
      <c r="F135" s="9" t="n">
        <v>46307</v>
      </c>
      <c r="G135" s="6" t="inlineStr">
        <is>
          <t xml:space="preserve">Word</t>
        </is>
      </c>
      <c r="H135" s="6" t="inlineStr">
        <is>
          <t xml:space="preserve">Sí</t>
        </is>
      </c>
      <c r="I135" s="10" t="inlineStr">
        <is>
          <t xml:space="preserve">Documento 04 Plan de Estudios 2026</t>
        </is>
      </c>
      <c r="J135" s="6" t="n">
        <v>1</v>
      </c>
    </row>
    <row r="136">
      <c r="A136" s="6" t="inlineStr">
        <is>
          <t>16.2</t>
        </is>
      </c>
      <c r="B136" s="7" t="inlineStr">
        <is>
          <t>Plan de implementación</t>
        </is>
      </c>
      <c r="C136" s="8" t="inlineStr">
        <is>
          <t>Gonzalo Terán Gandarillas</t>
        </is>
      </c>
      <c r="D136" s="8" t="inlineStr">
        <is>
          <t>Yesenia Chino Condori</t>
        </is>
      </c>
      <c r="E136" s="6" t="inlineStr">
        <is>
          <t xml:space="preserve">Entregado</t>
        </is>
      </c>
      <c r="F136" s="9" t="n">
        <v>46307</v>
      </c>
      <c r="G136" s="6" t="inlineStr">
        <is>
          <t xml:space="preserve">Word</t>
        </is>
      </c>
      <c r="H136" s="6" t="inlineStr">
        <is>
          <t xml:space="preserve">Sí</t>
        </is>
      </c>
      <c r="I136" s="10" t="inlineStr">
        <is>
          <t xml:space="preserve">Documento 04 Plan de Estudios 2026</t>
        </is>
      </c>
      <c r="J136" s="6" t="n">
        <v>1</v>
      </c>
    </row>
    <row r="137">
      <c r="A137" s="6" t="inlineStr">
        <is>
          <t>16.3</t>
        </is>
      </c>
      <c r="B137" s="7" t="inlineStr">
        <is>
          <t>Política de extinción del plan de estudio</t>
        </is>
      </c>
      <c r="C137" s="8" t="inlineStr">
        <is>
          <t>Gonzalo Terán Gandarillas</t>
        </is>
      </c>
      <c r="D137" s="8" t="inlineStr">
        <is>
          <t>Yesenia Chino Condori</t>
        </is>
      </c>
      <c r="E137" s="6" t="inlineStr">
        <is>
          <t>Pendiente</t>
        </is>
      </c>
      <c r="F137" s="9" t="n"/>
      <c r="G137" s="6" t="n"/>
      <c r="H137" s="6" t="inlineStr">
        <is>
          <t>No</t>
        </is>
      </c>
      <c r="I137" s="10" t="n"/>
      <c r="J137" s="6" t="n">
        <v>1</v>
      </c>
    </row>
  </sheetData>
  <autoFilter ref="A4:I137"/>
  <conditionalFormatting sqref="E5:E137">
    <cfRule type="expression" priority="1" dxfId="0">
      <formula>E5="Entregado"</formula>
    </cfRule>
    <cfRule type="expression" priority="2" dxfId="0">
      <formula>E5="Completo"</formula>
    </cfRule>
    <cfRule type="expression" priority="3" dxfId="1">
      <formula>E5="Parcial"</formula>
    </cfRule>
    <cfRule type="expression" priority="4" dxfId="1">
      <formula>E5="En proceso"</formula>
    </cfRule>
    <cfRule type="expression" priority="5" dxfId="2">
      <formula>E5="Observado"</formula>
    </cfRule>
  </conditionalFormatting>
  <conditionalFormatting sqref="H5:H137">
    <cfRule type="expression" priority="6" dxfId="3">
      <formula>H5="Sí"</formula>
    </cfRule>
  </conditionalFormatting>
  <dataValidations count="4">
    <dataValidation sqref="E6 E7 E8 E9 E10 E11 E12 E13 E14 E15 E16 E17 E18 E20 E21 E22 E23 E24 E25 E26 E28 E29 E30 E31 E32 E35 E36 E37 E38 E39 E41 E42 E43 E44 E45 E46 E47 E49 E50 E51 E52 E53 E55 E56 E57 E58 E60 E61 E62 E63 E64 E65 E66 E67 E68 E69 E70 E71 E73 E74 E75 E76 E78 E79 E81 E82 E84 E85 E86 E87 E88 E89 E91 E92 E93 E94 E96 E97 E98 E99 E100 E101 E102 E103 E104 E105 E106 E107 E109 E110 E111 E113 E114 E116 E117 E119 E120 E121 E122 E123 E124 E125 E126 E127 E129 E130 E131 E132 E133 E135 E136 E137" showDropDown="0" showInputMessage="0" showErrorMessage="1" allowBlank="0" errorTitle="Estado" error="Elija un estado de la lista." type="list">
      <formula1>"Pendiente,Entregado,Parcial,Observado"</formula1>
    </dataValidation>
    <dataValidation sqref="G6 G7 G8 G9 G10 G11 G12 G13 G14 G15 G16 G17 G18 G20 G21 G22 G23 G24 G25 G26 G28 G29 G30 G31 G32 G35 G36 G37 G38 G39 G41 G42 G43 G44 G45 G46 G47 G49 G50 G51 G52 G53 G55 G56 G57 G58 G60 G61 G62 G63 G64 G65 G66 G67 G68 G69 G70 G71 G73 G74 G75 G76 G78 G79 G81 G82 G84 G85 G86 G87 G88 G89 G91 G92 G93 G94 G96 G97 G98 G99 G100 G101 G102 G103 G104 G105 G106 G107 G109 G110 G111 G113 G114 G116 G117 G119 G120 G121 G122 G123 G124 G125 G126 G127 G129 G130 G131 G132 G133 G135 G136 G137" showDropDown="0" showInputMessage="0" showErrorMessage="0" allowBlank="1" type="list">
      <formula1>"Word,PDF,Excel,PowerPoint,Otro"</formula1>
    </dataValidation>
    <dataValidation sqref="H6 H7 H8 H9 H10 H11 H12 H13 H14 H15 H16 H17 H18 H20 H21 H22 H23 H24 H25 H26 H28 H29 H30 H31 H32 H35 H36 H37 H38 H39 H41 H42 H43 H44 H45 H46 H47 H49 H50 H51 H52 H53 H55 H56 H57 H58 H60 H61 H62 H63 H64 H65 H66 H67 H68 H69 H70 H71 H73 H74 H75 H76 H78 H79 H81 H82 H84 H85 H86 H87 H88 H89 H91 H92 H93 H94 H96 H97 H98 H99 H100 H101 H102 H103 H104 H105 H106 H107 H109 H110 H111 H113 H114 H116 H117 H119 H120 H121 H122 H123 H124 H125 H126 H127 H129 H130 H131 H132 H133 H135 H136 H137" showDropDown="0" showInputMessage="0" showErrorMessage="0" allowBlank="0" type="list">
      <formula1>"Sí,No"</formula1>
    </dataValidation>
    <dataValidation sqref="F6 F7 F8 F9 F10 F11 F12 F13 F14 F15 F16 F17 F18 F20 F21 F22 F23 F24 F25 F26 F28 F29 F30 F31 F32 F35 F36 F37 F38 F39 F41 F42 F43 F44 F45 F46 F47 F49 F50 F51 F52 F53 F55 F56 F57 F58 F60 F61 F62 F63 F64 F65 F66 F67 F68 F69 F70 F71 F73 F74 F75 F76 F78 F79 F81 F82 F84 F85 F86 F87 F88 F89 F91 F92 F93 F94 F96 F97 F98 F99 F100 F101 F102 F103 F104 F105 F106 F107 F109 F110 F111 F113 F114 F116 F117 F119 F120 F121 F122 F123 F124 F125 F126 F127 F129 F130 F131 F132 F133 F135 F136 F137" showDropDown="0" showInputMessage="0" showErrorMessage="1" allowBlank="1" errorTitle="Fecha" error="Ingrese una fecha válida (dd/mm/aaaa)." type="date" operator="greaterThan">
      <formula1>45658</formula1>
    </dataValidation>
  </dataValidations>
  <printOptions horizontalCentered="1"/>
  <pageMargins left="0.4" right="0.4" top="0.5" bottom="0.5" header="0.5" footer="0.5"/>
  <pageSetup orientation="landscape" paperSize="1" fitToHeight="0" fitToWidth="1"/>
  <headerFooter>
    <oddHeader/>
    <oddFooter>&amp;R&amp;"Century Gothic"Página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50" customWidth="1" min="2" max="2"/>
    <col width="9" customWidth="1" min="3" max="3"/>
    <col width="12" customWidth="1" min="4" max="4"/>
    <col width="11" customWidth="1" min="5" max="5"/>
    <col width="12" customWidth="1" min="6" max="6"/>
    <col width="12" customWidth="1" min="7" max="7"/>
    <col width="11" customWidth="1" min="8" max="8"/>
  </cols>
  <sheetData>
    <row r="1">
      <c r="A1" s="1" t="inlineStr">
        <is>
          <t>Resumen de avance por punto</t>
        </is>
      </c>
    </row>
    <row r="2">
      <c r="A2" s="2" t="inlineStr">
        <is>
          <t>Se calcula solo con los ítems entregables de la hoja Checklist.</t>
        </is>
      </c>
    </row>
    <row r="4">
      <c r="A4" s="3" t="inlineStr">
        <is>
          <t>Punto</t>
        </is>
      </c>
      <c r="B4" s="3" t="inlineStr">
        <is>
          <t>Título</t>
        </is>
      </c>
      <c r="C4" s="3" t="inlineStr">
        <is>
          <t>Ítems</t>
        </is>
      </c>
      <c r="D4" s="3" t="inlineStr">
        <is>
          <t>Entregados</t>
        </is>
      </c>
      <c r="E4" s="3" t="inlineStr">
        <is>
          <t>Parciales</t>
        </is>
      </c>
      <c r="F4" s="3" t="inlineStr">
        <is>
          <t>Observados</t>
        </is>
      </c>
      <c r="G4" s="3" t="inlineStr">
        <is>
          <t>Pendientes</t>
        </is>
      </c>
      <c r="H4" s="3" t="inlineStr">
        <is>
          <t>Avance</t>
        </is>
      </c>
    </row>
    <row r="5">
      <c r="A5" s="6" t="n">
        <v>1</v>
      </c>
      <c r="B5" s="8" t="inlineStr">
        <is>
          <t>Identificación del programa/carrera</t>
        </is>
      </c>
      <c r="C5" s="6">
        <f>COUNTIFS(Checklist!$A$5:$A$137,"1.*",Checklist!$J$5:$J$137,1)</f>
        <v/>
      </c>
      <c r="D5" s="6">
        <f>COUNTIFS(Checklist!$A$5:$A$137,"1.*",Checklist!$J$5:$J$137,1,Checklist!$E$5:$E$137,"Entregado")</f>
        <v/>
      </c>
      <c r="E5" s="6">
        <f>COUNTIFS(Checklist!$A$5:$A$137,"1.*",Checklist!$J$5:$J$137,1,Checklist!$E$5:$E$137,"Parcial")</f>
        <v/>
      </c>
      <c r="F5" s="6">
        <f>COUNTIFS(Checklist!$A$5:$A$137,"1.*",Checklist!$J$5:$J$137,1,Checklist!$E$5:$E$137,"Observado")</f>
        <v/>
      </c>
      <c r="G5" s="6">
        <f>COUNTIFS(Checklist!$A$5:$A$137,"1.*",Checklist!$J$5:$J$137,1,Checklist!$E$5:$E$137,"Pendiente")</f>
        <v/>
      </c>
      <c r="H5" s="20">
        <f>IF(C5=0,0,D5/C5)</f>
        <v/>
      </c>
    </row>
    <row r="6">
      <c r="A6" s="6" t="n">
        <v>2</v>
      </c>
      <c r="B6" s="8" t="inlineStr">
        <is>
          <t>Antecedentes</t>
        </is>
      </c>
      <c r="C6" s="6">
        <f>COUNTIFS(Checklist!$A$5:$A$137,"2.*",Checklist!$J$5:$J$137,1)</f>
        <v/>
      </c>
      <c r="D6" s="6">
        <f>COUNTIFS(Checklist!$A$5:$A$137,"2.*",Checklist!$J$5:$J$137,1,Checklist!$E$5:$E$137,"Entregado")</f>
        <v/>
      </c>
      <c r="E6" s="6">
        <f>COUNTIFS(Checklist!$A$5:$A$137,"2.*",Checklist!$J$5:$J$137,1,Checklist!$E$5:$E$137,"Parcial")</f>
        <v/>
      </c>
      <c r="F6" s="6">
        <f>COUNTIFS(Checklist!$A$5:$A$137,"2.*",Checklist!$J$5:$J$137,1,Checklist!$E$5:$E$137,"Observado")</f>
        <v/>
      </c>
      <c r="G6" s="6">
        <f>COUNTIFS(Checklist!$A$5:$A$137,"2.*",Checklist!$J$5:$J$137,1,Checklist!$E$5:$E$137,"Pendiente")</f>
        <v/>
      </c>
      <c r="H6" s="20">
        <f>IF(C6=0,0,D6/C6)</f>
        <v/>
      </c>
    </row>
    <row r="7">
      <c r="A7" s="6" t="n">
        <v>3</v>
      </c>
      <c r="B7" s="8" t="inlineStr">
        <is>
          <t>Justificación de la innovación curricular (solo para niveles de diseño, rediseño y ajustes)</t>
        </is>
      </c>
      <c r="C7" s="6">
        <f>COUNTIFS(Checklist!$A$5:$A$137,"3.*",Checklist!$J$5:$J$137,1)</f>
        <v/>
      </c>
      <c r="D7" s="6">
        <f>COUNTIFS(Checklist!$A$5:$A$137,"3.*",Checklist!$J$5:$J$137,1,Checklist!$E$5:$E$137,"Entregado")</f>
        <v/>
      </c>
      <c r="E7" s="6">
        <f>COUNTIFS(Checklist!$A$5:$A$137,"3.*",Checklist!$J$5:$J$137,1,Checklist!$E$5:$E$137,"Parcial")</f>
        <v/>
      </c>
      <c r="F7" s="6">
        <f>COUNTIFS(Checklist!$A$5:$A$137,"3.*",Checklist!$J$5:$J$137,1,Checklist!$E$5:$E$137,"Observado")</f>
        <v/>
      </c>
      <c r="G7" s="6">
        <f>COUNTIFS(Checklist!$A$5:$A$137,"3.*",Checklist!$J$5:$J$137,1,Checklist!$E$5:$E$137,"Pendiente")</f>
        <v/>
      </c>
      <c r="H7" s="20">
        <f>IF(C7=0,0,D7/C7)</f>
        <v/>
      </c>
    </row>
    <row r="8">
      <c r="A8" s="6" t="n">
        <v>4</v>
      </c>
      <c r="B8" s="8" t="inlineStr">
        <is>
          <t>Aspectos académicos</t>
        </is>
      </c>
      <c r="C8" s="6">
        <f>COUNTIFS(Checklist!$A$5:$A$137,"4.*",Checklist!$J$5:$J$137,1)</f>
        <v/>
      </c>
      <c r="D8" s="6">
        <f>COUNTIFS(Checklist!$A$5:$A$137,"4.*",Checklist!$J$5:$J$137,1,Checklist!$E$5:$E$137,"Entregado")</f>
        <v/>
      </c>
      <c r="E8" s="6">
        <f>COUNTIFS(Checklist!$A$5:$A$137,"4.*",Checklist!$J$5:$J$137,1,Checklist!$E$5:$E$137,"Parcial")</f>
        <v/>
      </c>
      <c r="F8" s="6">
        <f>COUNTIFS(Checklist!$A$5:$A$137,"4.*",Checklist!$J$5:$J$137,1,Checklist!$E$5:$E$137,"Observado")</f>
        <v/>
      </c>
      <c r="G8" s="6">
        <f>COUNTIFS(Checklist!$A$5:$A$137,"4.*",Checklist!$J$5:$J$137,1,Checklist!$E$5:$E$137,"Pendiente")</f>
        <v/>
      </c>
      <c r="H8" s="20">
        <f>IF(C8=0,0,D8/C8)</f>
        <v/>
      </c>
    </row>
    <row r="9">
      <c r="A9" s="6" t="n">
        <v>5</v>
      </c>
      <c r="B9" s="8" t="inlineStr">
        <is>
          <t>Admisión, promoción y graduación</t>
        </is>
      </c>
      <c r="C9" s="6">
        <f>COUNTIFS(Checklist!$A$5:$A$137,"5.*",Checklist!$J$5:$J$137,1)</f>
        <v/>
      </c>
      <c r="D9" s="6">
        <f>COUNTIFS(Checklist!$A$5:$A$137,"5.*",Checklist!$J$5:$J$137,1,Checklist!$E$5:$E$137,"Entregado")</f>
        <v/>
      </c>
      <c r="E9" s="6">
        <f>COUNTIFS(Checklist!$A$5:$A$137,"5.*",Checklist!$J$5:$J$137,1,Checklist!$E$5:$E$137,"Parcial")</f>
        <v/>
      </c>
      <c r="F9" s="6">
        <f>COUNTIFS(Checklist!$A$5:$A$137,"5.*",Checklist!$J$5:$J$137,1,Checklist!$E$5:$E$137,"Observado")</f>
        <v/>
      </c>
      <c r="G9" s="6">
        <f>COUNTIFS(Checklist!$A$5:$A$137,"5.*",Checklist!$J$5:$J$137,1,Checklist!$E$5:$E$137,"Pendiente")</f>
        <v/>
      </c>
      <c r="H9" s="20">
        <f>IF(C9=0,0,D9/C9)</f>
        <v/>
      </c>
    </row>
    <row r="10">
      <c r="A10" s="6" t="n">
        <v>6</v>
      </c>
      <c r="B10" s="8" t="inlineStr">
        <is>
          <t>Investigación (articulada con los institutos o unidades de investigación relacionados con la carrera/programa)</t>
        </is>
      </c>
      <c r="C10" s="6">
        <f>COUNTIFS(Checklist!$A$5:$A$137,"6.*",Checklist!$J$5:$J$137,1)</f>
        <v/>
      </c>
      <c r="D10" s="6">
        <f>COUNTIFS(Checklist!$A$5:$A$137,"6.*",Checklist!$J$5:$J$137,1,Checklist!$E$5:$E$137,"Entregado")</f>
        <v/>
      </c>
      <c r="E10" s="6">
        <f>COUNTIFS(Checklist!$A$5:$A$137,"6.*",Checklist!$J$5:$J$137,1,Checklist!$E$5:$E$137,"Parcial")</f>
        <v/>
      </c>
      <c r="F10" s="6">
        <f>COUNTIFS(Checklist!$A$5:$A$137,"6.*",Checklist!$J$5:$J$137,1,Checklist!$E$5:$E$137,"Observado")</f>
        <v/>
      </c>
      <c r="G10" s="6">
        <f>COUNTIFS(Checklist!$A$5:$A$137,"6.*",Checklist!$J$5:$J$137,1,Checklist!$E$5:$E$137,"Pendiente")</f>
        <v/>
      </c>
      <c r="H10" s="20">
        <f>IF(C10=0,0,D10/C10)</f>
        <v/>
      </c>
    </row>
    <row r="11">
      <c r="A11" s="6" t="n">
        <v>7</v>
      </c>
      <c r="B11" s="8" t="inlineStr">
        <is>
          <t>Interacción social y extensión universitaria</t>
        </is>
      </c>
      <c r="C11" s="6">
        <f>COUNTIFS(Checklist!$A$5:$A$137,"7.*",Checklist!$J$5:$J$137,1)</f>
        <v/>
      </c>
      <c r="D11" s="6">
        <f>COUNTIFS(Checklist!$A$5:$A$137,"7.*",Checklist!$J$5:$J$137,1,Checklist!$E$5:$E$137,"Entregado")</f>
        <v/>
      </c>
      <c r="E11" s="6">
        <f>COUNTIFS(Checklist!$A$5:$A$137,"7.*",Checklist!$J$5:$J$137,1,Checklist!$E$5:$E$137,"Parcial")</f>
        <v/>
      </c>
      <c r="F11" s="6">
        <f>COUNTIFS(Checklist!$A$5:$A$137,"7.*",Checklist!$J$5:$J$137,1,Checklist!$E$5:$E$137,"Observado")</f>
        <v/>
      </c>
      <c r="G11" s="6">
        <f>COUNTIFS(Checklist!$A$5:$A$137,"7.*",Checklist!$J$5:$J$137,1,Checklist!$E$5:$E$137,"Pendiente")</f>
        <v/>
      </c>
      <c r="H11" s="20">
        <f>IF(C11=0,0,D11/C11)</f>
        <v/>
      </c>
    </row>
    <row r="12">
      <c r="A12" s="6" t="n">
        <v>8</v>
      </c>
      <c r="B12" s="8" t="inlineStr">
        <is>
          <t>Organización del proceso curricular</t>
        </is>
      </c>
      <c r="C12" s="6">
        <f>COUNTIFS(Checklist!$A$5:$A$137,"8.*",Checklist!$J$5:$J$137,1)</f>
        <v/>
      </c>
      <c r="D12" s="6">
        <f>COUNTIFS(Checklist!$A$5:$A$137,"8.*",Checklist!$J$5:$J$137,1,Checklist!$E$5:$E$137,"Entregado")</f>
        <v/>
      </c>
      <c r="E12" s="6">
        <f>COUNTIFS(Checklist!$A$5:$A$137,"8.*",Checklist!$J$5:$J$137,1,Checklist!$E$5:$E$137,"Parcial")</f>
        <v/>
      </c>
      <c r="F12" s="6">
        <f>COUNTIFS(Checklist!$A$5:$A$137,"8.*",Checklist!$J$5:$J$137,1,Checklist!$E$5:$E$137,"Observado")</f>
        <v/>
      </c>
      <c r="G12" s="6">
        <f>COUNTIFS(Checklist!$A$5:$A$137,"8.*",Checklist!$J$5:$J$137,1,Checklist!$E$5:$E$137,"Pendiente")</f>
        <v/>
      </c>
      <c r="H12" s="20">
        <f>IF(C12=0,0,D12/C12)</f>
        <v/>
      </c>
    </row>
    <row r="13">
      <c r="A13" s="6" t="n">
        <v>9</v>
      </c>
      <c r="B13" s="8" t="inlineStr">
        <is>
          <t>Material Bibliográfico</t>
        </is>
      </c>
      <c r="C13" s="6">
        <f>COUNTIFS(Checklist!$A$5:$A$137,"9.*",Checklist!$J$5:$J$137,1)</f>
        <v/>
      </c>
      <c r="D13" s="6">
        <f>COUNTIFS(Checklist!$A$5:$A$137,"9.*",Checklist!$J$5:$J$137,1,Checklist!$E$5:$E$137,"Entregado")</f>
        <v/>
      </c>
      <c r="E13" s="6">
        <f>COUNTIFS(Checklist!$A$5:$A$137,"9.*",Checklist!$J$5:$J$137,1,Checklist!$E$5:$E$137,"Parcial")</f>
        <v/>
      </c>
      <c r="F13" s="6">
        <f>COUNTIFS(Checklist!$A$5:$A$137,"9.*",Checklist!$J$5:$J$137,1,Checklist!$E$5:$E$137,"Observado")</f>
        <v/>
      </c>
      <c r="G13" s="6">
        <f>COUNTIFS(Checklist!$A$5:$A$137,"9.*",Checklist!$J$5:$J$137,1,Checklist!$E$5:$E$137,"Pendiente")</f>
        <v/>
      </c>
      <c r="H13" s="20">
        <f>IF(C13=0,0,D13/C13)</f>
        <v/>
      </c>
    </row>
    <row r="14">
      <c r="A14" s="6" t="n">
        <v>10</v>
      </c>
      <c r="B14" s="8" t="inlineStr">
        <is>
          <t>Recursos educativos</t>
        </is>
      </c>
      <c r="C14" s="6">
        <f>COUNTIFS(Checklist!$A$5:$A$137,"10.*",Checklist!$J$5:$J$137,1)</f>
        <v/>
      </c>
      <c r="D14" s="6">
        <f>COUNTIFS(Checklist!$A$5:$A$137,"10.*",Checklist!$J$5:$J$137,1,Checklist!$E$5:$E$137,"Entregado")</f>
        <v/>
      </c>
      <c r="E14" s="6">
        <f>COUNTIFS(Checklist!$A$5:$A$137,"10.*",Checklist!$J$5:$J$137,1,Checklist!$E$5:$E$137,"Parcial")</f>
        <v/>
      </c>
      <c r="F14" s="6">
        <f>COUNTIFS(Checklist!$A$5:$A$137,"10.*",Checklist!$J$5:$J$137,1,Checklist!$E$5:$E$137,"Observado")</f>
        <v/>
      </c>
      <c r="G14" s="6">
        <f>COUNTIFS(Checklist!$A$5:$A$137,"10.*",Checklist!$J$5:$J$137,1,Checklist!$E$5:$E$137,"Pendiente")</f>
        <v/>
      </c>
      <c r="H14" s="20">
        <f>IF(C14=0,0,D14/C14)</f>
        <v/>
      </c>
    </row>
    <row r="15">
      <c r="A15" s="6" t="n">
        <v>11</v>
      </c>
      <c r="B15" s="8" t="inlineStr">
        <is>
          <t>Implementación del proyecto curricular</t>
        </is>
      </c>
      <c r="C15" s="6">
        <f>COUNTIFS(Checklist!$A$5:$A$137,"11.*",Checklist!$J$5:$J$137,1)</f>
        <v/>
      </c>
      <c r="D15" s="6">
        <f>COUNTIFS(Checklist!$A$5:$A$137,"11.*",Checklist!$J$5:$J$137,1,Checklist!$E$5:$E$137,"Entregado")</f>
        <v/>
      </c>
      <c r="E15" s="6">
        <f>COUNTIFS(Checklist!$A$5:$A$137,"11.*",Checklist!$J$5:$J$137,1,Checklist!$E$5:$E$137,"Parcial")</f>
        <v/>
      </c>
      <c r="F15" s="6">
        <f>COUNTIFS(Checklist!$A$5:$A$137,"11.*",Checklist!$J$5:$J$137,1,Checklist!$E$5:$E$137,"Observado")</f>
        <v/>
      </c>
      <c r="G15" s="6">
        <f>COUNTIFS(Checklist!$A$5:$A$137,"11.*",Checklist!$J$5:$J$137,1,Checklist!$E$5:$E$137,"Pendiente")</f>
        <v/>
      </c>
      <c r="H15" s="20">
        <f>IF(C15=0,0,D15/C15)</f>
        <v/>
      </c>
    </row>
    <row r="16">
      <c r="A16" s="6" t="n">
        <v>12</v>
      </c>
      <c r="B16" s="8" t="inlineStr">
        <is>
          <t>Evaluación Curricular</t>
        </is>
      </c>
      <c r="C16" s="6">
        <f>COUNTIFS(Checklist!$A$5:$A$137,"12.*",Checklist!$J$5:$J$137,1)</f>
        <v/>
      </c>
      <c r="D16" s="6">
        <f>COUNTIFS(Checklist!$A$5:$A$137,"12.*",Checklist!$J$5:$J$137,1,Checklist!$E$5:$E$137,"Entregado")</f>
        <v/>
      </c>
      <c r="E16" s="6">
        <f>COUNTIFS(Checklist!$A$5:$A$137,"12.*",Checklist!$J$5:$J$137,1,Checklist!$E$5:$E$137,"Parcial")</f>
        <v/>
      </c>
      <c r="F16" s="6">
        <f>COUNTIFS(Checklist!$A$5:$A$137,"12.*",Checklist!$J$5:$J$137,1,Checklist!$E$5:$E$137,"Observado")</f>
        <v/>
      </c>
      <c r="G16" s="6">
        <f>COUNTIFS(Checklist!$A$5:$A$137,"12.*",Checklist!$J$5:$J$137,1,Checklist!$E$5:$E$137,"Pendiente")</f>
        <v/>
      </c>
      <c r="H16" s="20">
        <f>IF(C16=0,0,D16/C16)</f>
        <v/>
      </c>
    </row>
    <row r="17">
      <c r="A17" s="6" t="n">
        <v>13</v>
      </c>
      <c r="B17" s="8" t="inlineStr">
        <is>
          <t>Reglamentación</t>
        </is>
      </c>
      <c r="C17" s="6">
        <f>COUNTIFS(Checklist!$A$5:$A$137,"13.*",Checklist!$J$5:$J$137,1)</f>
        <v/>
      </c>
      <c r="D17" s="6">
        <f>COUNTIFS(Checklist!$A$5:$A$137,"13.*",Checklist!$J$5:$J$137,1,Checklist!$E$5:$E$137,"Entregado")</f>
        <v/>
      </c>
      <c r="E17" s="6">
        <f>COUNTIFS(Checklist!$A$5:$A$137,"13.*",Checklist!$J$5:$J$137,1,Checklist!$E$5:$E$137,"Parcial")</f>
        <v/>
      </c>
      <c r="F17" s="6">
        <f>COUNTIFS(Checklist!$A$5:$A$137,"13.*",Checklist!$J$5:$J$137,1,Checklist!$E$5:$E$137,"Observado")</f>
        <v/>
      </c>
      <c r="G17" s="6">
        <f>COUNTIFS(Checklist!$A$5:$A$137,"13.*",Checklist!$J$5:$J$137,1,Checklist!$E$5:$E$137,"Pendiente")</f>
        <v/>
      </c>
      <c r="H17" s="20">
        <f>IF(C17=0,0,D17/C17)</f>
        <v/>
      </c>
    </row>
    <row r="18">
      <c r="A18" s="6" t="n">
        <v>14</v>
      </c>
      <c r="B18" s="8" t="inlineStr">
        <is>
          <t>Infraestructura y equipamiento</t>
        </is>
      </c>
      <c r="C18" s="6">
        <f>COUNTIFS(Checklist!$A$5:$A$137,"14.*",Checklist!$J$5:$J$137,1)</f>
        <v/>
      </c>
      <c r="D18" s="6">
        <f>COUNTIFS(Checklist!$A$5:$A$137,"14.*",Checklist!$J$5:$J$137,1,Checklist!$E$5:$E$137,"Entregado")</f>
        <v/>
      </c>
      <c r="E18" s="6">
        <f>COUNTIFS(Checklist!$A$5:$A$137,"14.*",Checklist!$J$5:$J$137,1,Checklist!$E$5:$E$137,"Parcial")</f>
        <v/>
      </c>
      <c r="F18" s="6">
        <f>COUNTIFS(Checklist!$A$5:$A$137,"14.*",Checklist!$J$5:$J$137,1,Checklist!$E$5:$E$137,"Observado")</f>
        <v/>
      </c>
      <c r="G18" s="6">
        <f>COUNTIFS(Checklist!$A$5:$A$137,"14.*",Checklist!$J$5:$J$137,1,Checklist!$E$5:$E$137,"Pendiente")</f>
        <v/>
      </c>
      <c r="H18" s="20">
        <f>IF(C18=0,0,D18/C18)</f>
        <v/>
      </c>
    </row>
    <row r="19">
      <c r="A19" s="6" t="n">
        <v>15</v>
      </c>
      <c r="B19" s="8" t="inlineStr">
        <is>
          <t>Mobiliario, equipamiento y materiales</t>
        </is>
      </c>
      <c r="C19" s="6">
        <f>COUNTIFS(Checklist!$A$5:$A$137,"15.*",Checklist!$J$5:$J$137,1)</f>
        <v/>
      </c>
      <c r="D19" s="6">
        <f>COUNTIFS(Checklist!$A$5:$A$137,"15.*",Checklist!$J$5:$J$137,1,Checklist!$E$5:$E$137,"Entregado")</f>
        <v/>
      </c>
      <c r="E19" s="6">
        <f>COUNTIFS(Checklist!$A$5:$A$137,"15.*",Checklist!$J$5:$J$137,1,Checklist!$E$5:$E$137,"Parcial")</f>
        <v/>
      </c>
      <c r="F19" s="6">
        <f>COUNTIFS(Checklist!$A$5:$A$137,"15.*",Checklist!$J$5:$J$137,1,Checklist!$E$5:$E$137,"Observado")</f>
        <v/>
      </c>
      <c r="G19" s="6">
        <f>COUNTIFS(Checklist!$A$5:$A$137,"15.*",Checklist!$J$5:$J$137,1,Checklist!$E$5:$E$137,"Pendiente")</f>
        <v/>
      </c>
      <c r="H19" s="20">
        <f>IF(C19=0,0,D19/C19)</f>
        <v/>
      </c>
    </row>
    <row r="20">
      <c r="A20" s="6" t="n">
        <v>16</v>
      </c>
      <c r="B20" s="8" t="inlineStr">
        <is>
          <t>Disposiciones de ejecución</t>
        </is>
      </c>
      <c r="C20" s="6">
        <f>COUNTIFS(Checklist!$A$5:$A$137,"16.*",Checklist!$J$5:$J$137,1)</f>
        <v/>
      </c>
      <c r="D20" s="6">
        <f>COUNTIFS(Checklist!$A$5:$A$137,"16.*",Checklist!$J$5:$J$137,1,Checklist!$E$5:$E$137,"Entregado")</f>
        <v/>
      </c>
      <c r="E20" s="6">
        <f>COUNTIFS(Checklist!$A$5:$A$137,"16.*",Checklist!$J$5:$J$137,1,Checklist!$E$5:$E$137,"Parcial")</f>
        <v/>
      </c>
      <c r="F20" s="6">
        <f>COUNTIFS(Checklist!$A$5:$A$137,"16.*",Checklist!$J$5:$J$137,1,Checklist!$E$5:$E$137,"Observado")</f>
        <v/>
      </c>
      <c r="G20" s="6">
        <f>COUNTIFS(Checklist!$A$5:$A$137,"16.*",Checklist!$J$5:$J$137,1,Checklist!$E$5:$E$137,"Pendiente")</f>
        <v/>
      </c>
      <c r="H20" s="20">
        <f>IF(C20=0,0,D20/C20)</f>
        <v/>
      </c>
    </row>
    <row r="21">
      <c r="A21" s="21" t="n"/>
      <c r="B21" s="22" t="inlineStr">
        <is>
          <t>TOTAL</t>
        </is>
      </c>
      <c r="C21" s="21">
        <f>SUM(C5:C20)</f>
        <v/>
      </c>
      <c r="D21" s="21">
        <f>SUM(D5:D20)</f>
        <v/>
      </c>
      <c r="E21" s="21">
        <f>SUM(E5:E20)</f>
        <v/>
      </c>
      <c r="F21" s="21">
        <f>SUM(F5:F20)</f>
        <v/>
      </c>
      <c r="G21" s="21">
        <f>SUM(G5:G20)</f>
        <v/>
      </c>
      <c r="H21" s="23">
        <f>IF(C21=0,0,D21/C21)</f>
        <v/>
      </c>
    </row>
  </sheetData>
  <conditionalFormatting sqref="H5:H20">
    <cfRule type="dataBar" priority="1">
      <dataBar>
        <cfvo type="num" val="0"/>
        <cfvo type="num" val="1"/>
        <color rgb="004472C4"/>
      </dataBar>
    </cfRule>
  </conditionalFormatting>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2026-10-12T03:00:20Z</dcterms:created>
  <dcterms:modified xmlns:dcterms="http://purl.org/dc/terms/" xmlns:xsi="http://www.w3.org/2001/XMLSchema-instance" xsi:type="dcterms:W3CDTF">2026-10-12T03:20:31Z</dcterms:modified>
</cp:coreProperties>
</file>